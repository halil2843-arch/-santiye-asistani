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XX0X26" sheetId="1" state="visible" r:id="rId1"/>
  </sheets>
  <definedNames>
    <definedName name="_xlnm.Print_Area" localSheetId="0">'XX0X26'!$A$1:$P$98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9">
    <font>
      <name val="Calibri"/>
      <charset val="162"/>
      <family val="2"/>
      <color theme="1"/>
      <sz val="11"/>
      <scheme val="minor"/>
    </font>
    <font>
      <name val="Arial"/>
      <charset val="162"/>
      <family val="2"/>
      <sz val="10"/>
    </font>
    <font>
      <name val="Arial"/>
      <charset val="162"/>
      <family val="2"/>
      <sz val="8"/>
    </font>
    <font>
      <name val="Calibri"/>
      <charset val="162"/>
      <family val="2"/>
      <b val="1"/>
      <sz val="16"/>
      <scheme val="minor"/>
    </font>
    <font>
      <name val="Calibri"/>
      <charset val="162"/>
      <family val="2"/>
      <b val="1"/>
      <sz val="14"/>
      <scheme val="minor"/>
    </font>
    <font>
      <name val="Arial Tur"/>
      <charset val="162"/>
      <sz val="8"/>
    </font>
    <font>
      <name val="Calibri"/>
      <charset val="162"/>
      <family val="2"/>
      <b val="1"/>
      <sz val="12"/>
      <scheme val="minor"/>
    </font>
    <font>
      <name val="Calibri"/>
      <charset val="162"/>
      <family val="2"/>
      <b val="1"/>
      <color rgb="FFFF0000"/>
      <sz val="14"/>
      <scheme val="minor"/>
    </font>
    <font>
      <name val="Calibri"/>
      <charset val="162"/>
      <family val="2"/>
      <sz val="11"/>
      <scheme val="minor"/>
    </font>
    <font>
      <name val="Calibri"/>
      <charset val="162"/>
      <family val="2"/>
      <sz val="10"/>
      <scheme val="minor"/>
    </font>
    <font>
      <name val="Calibri"/>
      <charset val="162"/>
      <family val="2"/>
      <b val="1"/>
      <color rgb="FFFF0000"/>
      <sz val="18"/>
      <scheme val="minor"/>
    </font>
    <font>
      <name val="Calibri"/>
      <charset val="162"/>
      <family val="2"/>
      <b val="1"/>
      <sz val="11"/>
      <scheme val="minor"/>
    </font>
    <font>
      <name val="Calibri"/>
      <charset val="162"/>
      <family val="2"/>
      <b val="1"/>
      <sz val="11"/>
      <u val="single"/>
      <scheme val="minor"/>
    </font>
    <font>
      <name val="Calibri"/>
      <charset val="162"/>
      <family val="2"/>
      <b val="1"/>
      <sz val="10"/>
      <scheme val="minor"/>
    </font>
    <font>
      <name val="Calibri"/>
      <charset val="162"/>
      <family val="2"/>
      <sz val="9"/>
      <scheme val="minor"/>
    </font>
    <font>
      <name val="Calibri"/>
      <charset val="162"/>
      <family val="2"/>
      <sz val="8"/>
      <scheme val="minor"/>
    </font>
    <font>
      <name val="Arial"/>
      <charset val="162"/>
      <family val="2"/>
      <b val="1"/>
      <sz val="11"/>
    </font>
    <font>
      <name val="Arial"/>
      <charset val="162"/>
      <family val="2"/>
      <sz val="9"/>
    </font>
    <font>
      <name val="Arial"/>
      <charset val="162"/>
      <family val="2"/>
      <b val="1"/>
      <sz val="11"/>
      <u val="single"/>
    </font>
    <font>
      <name val="Arial"/>
      <charset val="162"/>
      <family val="2"/>
      <b val="1"/>
      <sz val="9"/>
    </font>
    <font>
      <name val="Calibri"/>
      <charset val="162"/>
      <family val="2"/>
      <b val="1"/>
      <sz val="9"/>
      <scheme val="minor"/>
    </font>
    <font>
      <name val="Calibri"/>
      <charset val="162"/>
      <family val="2"/>
      <b val="1"/>
      <color rgb="FFFF0000"/>
      <sz val="10"/>
      <scheme val="minor"/>
    </font>
    <font>
      <name val="Arial"/>
      <charset val="162"/>
      <family val="2"/>
      <b val="1"/>
      <sz val="8"/>
    </font>
    <font>
      <name val="Arial"/>
      <charset val="162"/>
      <family val="2"/>
      <b val="1"/>
      <sz val="12"/>
    </font>
    <font>
      <name val="Arial"/>
      <charset val="162"/>
      <family val="2"/>
      <b val="1"/>
      <sz val="10"/>
    </font>
    <font>
      <name val="Arial"/>
      <charset val="162"/>
      <family val="2"/>
      <sz val="11"/>
    </font>
    <font>
      <name val="Arial"/>
      <charset val="162"/>
      <family val="2"/>
      <b val="1"/>
      <sz val="9"/>
      <u val="single"/>
    </font>
    <font>
      <name val="Arial"/>
      <charset val="162"/>
      <family val="2"/>
      <b val="1"/>
      <color rgb="FFFF0000"/>
      <sz val="9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8" fillId="0" borderId="0"/>
  </cellStyleXfs>
  <cellXfs count="279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14" fillId="0" borderId="31" applyAlignment="1" pivotButton="0" quotePrefix="0" xfId="1">
      <alignment horizontal="center" vertical="center"/>
    </xf>
    <xf numFmtId="0" fontId="14" fillId="0" borderId="32" applyAlignment="1" pivotButton="0" quotePrefix="0" xfId="1">
      <alignment horizontal="right" vertical="center"/>
    </xf>
    <xf numFmtId="1" fontId="14" fillId="0" borderId="33" applyAlignment="1" pivotButton="0" quotePrefix="0" xfId="1">
      <alignment horizontal="center" vertical="center"/>
    </xf>
    <xf numFmtId="0" fontId="14" fillId="0" borderId="11" applyAlignment="1" pivotButton="0" quotePrefix="0" xfId="1">
      <alignment horizontal="left" vertical="center"/>
    </xf>
    <xf numFmtId="0" fontId="14" fillId="0" borderId="32" applyAlignment="1" pivotButton="0" quotePrefix="0" xfId="1">
      <alignment horizontal="center" vertical="center"/>
    </xf>
    <xf numFmtId="0" fontId="14" fillId="0" borderId="34" applyAlignment="1" pivotButton="0" quotePrefix="0" xfId="1">
      <alignment horizontal="right" vertical="center"/>
    </xf>
    <xf numFmtId="14" fontId="15" fillId="0" borderId="9" applyAlignment="1" pivotButton="0" quotePrefix="0" xfId="1">
      <alignment horizontal="center" vertical="center"/>
    </xf>
    <xf numFmtId="0" fontId="14" fillId="0" borderId="35" applyAlignment="1" pivotButton="0" quotePrefix="0" xfId="1">
      <alignment horizontal="center" vertical="center"/>
    </xf>
    <xf numFmtId="0" fontId="14" fillId="0" borderId="9" applyAlignment="1" pivotButton="0" quotePrefix="0" xfId="1">
      <alignment horizontal="right" vertical="center"/>
    </xf>
    <xf numFmtId="0" fontId="14" fillId="0" borderId="7" applyAlignment="1" pivotButton="0" quotePrefix="0" xfId="1">
      <alignment horizontal="right" vertical="center"/>
    </xf>
    <xf numFmtId="1" fontId="14" fillId="0" borderId="31" applyAlignment="1" pivotButton="0" quotePrefix="0" xfId="1">
      <alignment horizontal="center" vertical="center"/>
    </xf>
    <xf numFmtId="0" fontId="14" fillId="0" borderId="31" applyAlignment="1" pivotButton="0" quotePrefix="0" xfId="1">
      <alignment horizontal="right" vertical="center"/>
    </xf>
    <xf numFmtId="0" fontId="14" fillId="0" borderId="9" applyAlignment="1" pivotButton="0" quotePrefix="0" xfId="1">
      <alignment horizontal="center" vertical="center"/>
    </xf>
    <xf numFmtId="0" fontId="17" fillId="0" borderId="35" applyAlignment="1" pivotButton="0" quotePrefix="0" xfId="1">
      <alignment horizontal="center" vertical="center"/>
    </xf>
    <xf numFmtId="0" fontId="14" fillId="0" borderId="9" applyAlignment="1" pivotButton="0" quotePrefix="0" xfId="1">
      <alignment horizontal="left" vertical="center"/>
    </xf>
    <xf numFmtId="0" fontId="14" fillId="0" borderId="7" applyAlignment="1" pivotButton="0" quotePrefix="0" xfId="1">
      <alignment horizontal="center" vertical="center"/>
    </xf>
    <xf numFmtId="0" fontId="17" fillId="0" borderId="31" applyAlignment="1" pivotButton="0" quotePrefix="0" xfId="1">
      <alignment horizontal="center" vertical="center"/>
    </xf>
    <xf numFmtId="0" fontId="17" fillId="0" borderId="9" applyAlignment="1" pivotButton="0" quotePrefix="0" xfId="1">
      <alignment horizontal="left" vertical="center"/>
    </xf>
    <xf numFmtId="0" fontId="17" fillId="0" borderId="11" applyAlignment="1" pivotButton="0" quotePrefix="0" xfId="1">
      <alignment horizontal="left" vertical="center"/>
    </xf>
    <xf numFmtId="0" fontId="17" fillId="0" borderId="9" applyAlignment="1" pivotButton="0" quotePrefix="0" xfId="1">
      <alignment horizontal="center" vertical="center"/>
    </xf>
    <xf numFmtId="0" fontId="17" fillId="0" borderId="7" applyAlignment="1" pivotButton="0" quotePrefix="0" xfId="1">
      <alignment horizontal="left" vertical="center"/>
    </xf>
    <xf numFmtId="0" fontId="19" fillId="2" borderId="12" applyAlignment="1" pivotButton="0" quotePrefix="0" xfId="1">
      <alignment horizontal="center" vertical="center"/>
    </xf>
    <xf numFmtId="0" fontId="19" fillId="2" borderId="9" applyAlignment="1" pivotButton="0" quotePrefix="0" xfId="1">
      <alignment horizontal="right" vertical="center"/>
    </xf>
    <xf numFmtId="0" fontId="19" fillId="2" borderId="35" applyAlignment="1" pivotButton="0" quotePrefix="0" xfId="1">
      <alignment horizontal="center" vertical="center"/>
    </xf>
    <xf numFmtId="0" fontId="19" fillId="2" borderId="11" applyAlignment="1" pivotButton="0" quotePrefix="0" xfId="1">
      <alignment horizontal="right" vertical="center"/>
    </xf>
    <xf numFmtId="0" fontId="19" fillId="2" borderId="9" applyAlignment="1" pivotButton="0" quotePrefix="0" xfId="1">
      <alignment horizontal="center" vertical="center"/>
    </xf>
    <xf numFmtId="0" fontId="19" fillId="2" borderId="7" applyAlignment="1" pivotButton="0" quotePrefix="0" xfId="1">
      <alignment horizontal="right" vertical="center"/>
    </xf>
    <xf numFmtId="0" fontId="19" fillId="2" borderId="38" applyAlignment="1" pivotButton="0" quotePrefix="0" xfId="1">
      <alignment horizontal="center" vertical="center"/>
    </xf>
    <xf numFmtId="0" fontId="20" fillId="3" borderId="9" applyAlignment="1" pivotButton="0" quotePrefix="0" xfId="1">
      <alignment horizontal="center" vertical="center" wrapText="1"/>
    </xf>
    <xf numFmtId="0" fontId="20" fillId="0" borderId="9" applyAlignment="1" pivotButton="0" quotePrefix="0" xfId="1">
      <alignment horizontal="center" vertical="center" wrapText="1"/>
    </xf>
    <xf numFmtId="1" fontId="20" fillId="3" borderId="9" applyAlignment="1" pivotButton="0" quotePrefix="0" xfId="1">
      <alignment horizontal="center" vertical="center"/>
    </xf>
    <xf numFmtId="0" fontId="20" fillId="3" borderId="9" applyAlignment="1" pivotButton="0" quotePrefix="0" xfId="1">
      <alignment horizontal="center" vertical="center"/>
    </xf>
    <xf numFmtId="0" fontId="20" fillId="0" borderId="9" applyAlignment="1" pivotButton="0" quotePrefix="0" xfId="1">
      <alignment horizontal="center" vertical="center"/>
    </xf>
    <xf numFmtId="1" fontId="20" fillId="0" borderId="9" applyAlignment="1" pivotButton="0" quotePrefix="0" xfId="1">
      <alignment horizontal="center" vertical="center"/>
    </xf>
    <xf numFmtId="0" fontId="20" fillId="0" borderId="35" applyAlignment="1" pivotButton="0" quotePrefix="0" xfId="1">
      <alignment horizontal="center" vertical="center" wrapText="1"/>
    </xf>
    <xf numFmtId="0" fontId="2" fillId="0" borderId="0" applyAlignment="1" pivotButton="0" quotePrefix="0" xfId="1">
      <alignment horizontal="left" vertical="center"/>
    </xf>
    <xf numFmtId="0" fontId="14" fillId="3" borderId="9" applyAlignment="1" pivotButton="0" quotePrefix="0" xfId="1">
      <alignment horizontal="center" vertical="center"/>
    </xf>
    <xf numFmtId="1" fontId="14" fillId="3" borderId="9" applyAlignment="1" pivotButton="0" quotePrefix="0" xfId="1">
      <alignment horizontal="center" vertical="center"/>
    </xf>
    <xf numFmtId="1" fontId="14" fillId="0" borderId="9" applyAlignment="1" pivotButton="0" quotePrefix="0" xfId="1">
      <alignment horizontal="center" vertical="center"/>
    </xf>
    <xf numFmtId="1" fontId="14" fillId="3" borderId="9" applyAlignment="1" pivotButton="0" quotePrefix="0" xfId="1">
      <alignment horizontal="left" vertical="center"/>
    </xf>
    <xf numFmtId="1" fontId="14" fillId="0" borderId="9" applyAlignment="1" pivotButton="0" quotePrefix="0" xfId="1">
      <alignment horizontal="left" vertical="center"/>
    </xf>
    <xf numFmtId="0" fontId="20" fillId="0" borderId="35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22" fillId="0" borderId="0" applyAlignment="1" pivotButton="0" quotePrefix="0" xfId="1">
      <alignment vertical="center"/>
    </xf>
    <xf numFmtId="0" fontId="24" fillId="2" borderId="18" applyAlignment="1" pivotButton="0" quotePrefix="0" xfId="1">
      <alignment horizontal="center" vertical="center"/>
    </xf>
    <xf numFmtId="0" fontId="24" fillId="2" borderId="3" applyAlignment="1" pivotButton="0" quotePrefix="0" xfId="1">
      <alignment horizontal="center" vertical="center" wrapText="1"/>
    </xf>
    <xf numFmtId="0" fontId="1" fillId="5" borderId="11" applyAlignment="1" pivotButton="0" quotePrefix="0" xfId="1">
      <alignment horizontal="center" vertical="center"/>
    </xf>
    <xf numFmtId="0" fontId="1" fillId="5" borderId="30" applyAlignment="1" pivotButton="0" quotePrefix="0" xfId="1">
      <alignment horizontal="center" vertical="center" wrapText="1"/>
    </xf>
    <xf numFmtId="0" fontId="1" fillId="4" borderId="11" applyAlignment="1" pivotButton="0" quotePrefix="0" xfId="1">
      <alignment horizontal="center" vertical="center"/>
    </xf>
    <xf numFmtId="0" fontId="1" fillId="4" borderId="30" applyAlignment="1" pivotButton="0" quotePrefix="0" xfId="1">
      <alignment horizontal="center" vertical="center" wrapText="1"/>
    </xf>
    <xf numFmtId="0" fontId="19" fillId="4" borderId="12" applyAlignment="1" pivotButton="0" quotePrefix="0" xfId="1">
      <alignment horizontal="left" vertical="top" wrapText="1"/>
    </xf>
    <xf numFmtId="0" fontId="19" fillId="4" borderId="7" applyAlignment="1" pivotButton="0" quotePrefix="0" xfId="1">
      <alignment horizontal="left" vertical="top" wrapText="1"/>
    </xf>
    <xf numFmtId="0" fontId="19" fillId="4" borderId="10" applyAlignment="1" pivotButton="0" quotePrefix="0" xfId="1">
      <alignment horizontal="left" vertical="top" wrapText="1"/>
    </xf>
    <xf numFmtId="0" fontId="13" fillId="2" borderId="0" applyAlignment="1" pivotButton="0" quotePrefix="0" xfId="1">
      <alignment horizontal="center" vertical="center"/>
    </xf>
    <xf numFmtId="0" fontId="13" fillId="2" borderId="49" applyAlignment="1" pivotButton="0" quotePrefix="0" xfId="1">
      <alignment horizontal="center" vertical="center"/>
    </xf>
    <xf numFmtId="1" fontId="19" fillId="2" borderId="35" applyAlignment="1" pivotButton="0" quotePrefix="0" xfId="1">
      <alignment horizontal="center" vertical="center"/>
    </xf>
    <xf numFmtId="0" fontId="25" fillId="0" borderId="12" applyAlignment="1" pivotButton="0" quotePrefix="0" xfId="1">
      <alignment horizontal="left" vertical="center" wrapText="1"/>
    </xf>
    <xf numFmtId="0" fontId="25" fillId="0" borderId="7" applyAlignment="1" pivotButton="0" quotePrefix="0" xfId="1">
      <alignment horizontal="left" vertical="center" wrapText="1"/>
    </xf>
    <xf numFmtId="0" fontId="25" fillId="0" borderId="8" applyAlignment="1" pivotButton="0" quotePrefix="0" xfId="1">
      <alignment horizontal="left" vertical="center" wrapText="1"/>
    </xf>
    <xf numFmtId="0" fontId="17" fillId="4" borderId="12" applyAlignment="1" pivotButton="0" quotePrefix="0" xfId="1">
      <alignment horizontal="left" vertical="top" wrapText="1"/>
    </xf>
    <xf numFmtId="0" fontId="17" fillId="4" borderId="7" applyAlignment="1" pivotButton="0" quotePrefix="0" xfId="1">
      <alignment horizontal="left" vertical="top" wrapText="1"/>
    </xf>
    <xf numFmtId="0" fontId="17" fillId="4" borderId="10" applyAlignment="1" pivotButton="0" quotePrefix="0" xfId="1">
      <alignment horizontal="left" vertical="top" wrapText="1"/>
    </xf>
    <xf numFmtId="0" fontId="19" fillId="4" borderId="12" applyAlignment="1" pivotButton="0" quotePrefix="0" xfId="1">
      <alignment horizontal="left" vertical="top" wrapText="1"/>
    </xf>
    <xf numFmtId="0" fontId="19" fillId="4" borderId="7" applyAlignment="1" pivotButton="0" quotePrefix="0" xfId="1">
      <alignment horizontal="left" vertical="top" wrapText="1"/>
    </xf>
    <xf numFmtId="0" fontId="19" fillId="4" borderId="10" applyAlignment="1" pivotButton="0" quotePrefix="0" xfId="1">
      <alignment horizontal="left" vertical="top" wrapText="1"/>
    </xf>
    <xf numFmtId="0" fontId="16" fillId="0" borderId="12" applyAlignment="1" pivotButton="0" quotePrefix="0" xfId="1">
      <alignment horizontal="left" vertical="center" wrapText="1"/>
    </xf>
    <xf numFmtId="0" fontId="16" fillId="0" borderId="7" applyAlignment="1" pivotButton="0" quotePrefix="0" xfId="1">
      <alignment horizontal="left" vertical="center" wrapText="1"/>
    </xf>
    <xf numFmtId="0" fontId="16" fillId="0" borderId="8" applyAlignment="1" pivotButton="0" quotePrefix="0" xfId="1">
      <alignment horizontal="left" vertical="center" wrapText="1"/>
    </xf>
    <xf numFmtId="0" fontId="13" fillId="0" borderId="47" applyAlignment="1" pivotButton="0" quotePrefix="0" xfId="1">
      <alignment horizontal="center" vertical="center" textRotation="90"/>
    </xf>
    <xf numFmtId="0" fontId="13" fillId="0" borderId="48" applyAlignment="1" pivotButton="0" quotePrefix="0" xfId="1">
      <alignment horizontal="center" vertical="center" textRotation="90"/>
    </xf>
    <xf numFmtId="0" fontId="13" fillId="0" borderId="50" applyAlignment="1" pivotButton="0" quotePrefix="0" xfId="1">
      <alignment horizontal="center" vertical="center" textRotation="90"/>
    </xf>
    <xf numFmtId="0" fontId="13" fillId="2" borderId="4" applyAlignment="1" pivotButton="0" quotePrefix="0" xfId="1">
      <alignment horizontal="center" vertical="center"/>
    </xf>
    <xf numFmtId="0" fontId="13" fillId="2" borderId="2" applyAlignment="1" pivotButton="0" quotePrefix="0" xfId="1">
      <alignment horizontal="center" vertical="center"/>
    </xf>
    <xf numFmtId="0" fontId="13" fillId="2" borderId="5" applyAlignment="1" pivotButton="0" quotePrefix="0" xfId="1">
      <alignment horizontal="center" vertical="center"/>
    </xf>
    <xf numFmtId="0" fontId="13" fillId="2" borderId="12" applyAlignment="1" pivotButton="0" quotePrefix="0" xfId="1">
      <alignment horizontal="left" vertical="center"/>
    </xf>
    <xf numFmtId="0" fontId="13" fillId="2" borderId="7" applyAlignment="1" pivotButton="0" quotePrefix="0" xfId="1">
      <alignment horizontal="left" vertical="center"/>
    </xf>
    <xf numFmtId="0" fontId="13" fillId="2" borderId="8" applyAlignment="1" pivotButton="0" quotePrefix="0" xfId="1">
      <alignment horizontal="left" vertical="center"/>
    </xf>
    <xf numFmtId="0" fontId="14" fillId="0" borderId="9" applyAlignment="1" pivotButton="0" quotePrefix="0" xfId="1">
      <alignment horizontal="center" vertical="top"/>
    </xf>
    <xf numFmtId="0" fontId="14" fillId="0" borderId="14" applyAlignment="1" pivotButton="0" quotePrefix="0" xfId="1">
      <alignment horizontal="center" vertical="top"/>
    </xf>
    <xf numFmtId="0" fontId="14" fillId="0" borderId="35" applyAlignment="1" pivotButton="0" quotePrefix="0" xfId="1">
      <alignment horizontal="center" vertical="top"/>
    </xf>
    <xf numFmtId="0" fontId="14" fillId="0" borderId="38" applyAlignment="1" pivotButton="0" quotePrefix="0" xfId="1">
      <alignment horizontal="center" vertical="top"/>
    </xf>
    <xf numFmtId="0" fontId="16" fillId="5" borderId="12" applyAlignment="1" pivotButton="0" quotePrefix="0" xfId="1">
      <alignment horizontal="left" vertical="center" wrapText="1"/>
    </xf>
    <xf numFmtId="0" fontId="16" fillId="5" borderId="7" applyAlignment="1" pivotButton="0" quotePrefix="0" xfId="1">
      <alignment horizontal="left" vertical="center" wrapText="1"/>
    </xf>
    <xf numFmtId="0" fontId="16" fillId="5" borderId="8" applyAlignment="1" pivotButton="0" quotePrefix="0" xfId="1">
      <alignment horizontal="left" vertical="center" wrapText="1"/>
    </xf>
    <xf numFmtId="0" fontId="17" fillId="5" borderId="12" applyAlignment="1" pivotButton="0" quotePrefix="0" xfId="1">
      <alignment horizontal="left" vertical="top" wrapText="1"/>
    </xf>
    <xf numFmtId="0" fontId="17" fillId="5" borderId="7" applyAlignment="1" pivotButton="0" quotePrefix="0" xfId="1">
      <alignment horizontal="left" vertical="top" wrapText="1"/>
    </xf>
    <xf numFmtId="0" fontId="17" fillId="5" borderId="10" applyAlignment="1" pivotButton="0" quotePrefix="0" xfId="1">
      <alignment horizontal="left" vertical="top" wrapText="1"/>
    </xf>
    <xf numFmtId="0" fontId="17" fillId="4" borderId="12" applyAlignment="1" pivotButton="0" quotePrefix="0" xfId="1">
      <alignment horizontal="left" vertical="center" wrapText="1"/>
    </xf>
    <xf numFmtId="0" fontId="17" fillId="4" borderId="7" applyAlignment="1" pivotButton="0" quotePrefix="0" xfId="1">
      <alignment horizontal="left" vertical="center" wrapText="1"/>
    </xf>
    <xf numFmtId="0" fontId="17" fillId="4" borderId="10" applyAlignment="1" pivotButton="0" quotePrefix="0" xfId="1">
      <alignment horizontal="left" vertical="center" wrapText="1"/>
    </xf>
    <xf numFmtId="0" fontId="25" fillId="0" borderId="12" applyAlignment="1" pivotButton="0" quotePrefix="1" xfId="1">
      <alignment horizontal="left" vertical="center" wrapText="1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23" fillId="0" borderId="43" applyAlignment="1" pivotButton="0" quotePrefix="0" xfId="1">
      <alignment horizontal="center" vertical="center"/>
    </xf>
    <xf numFmtId="0" fontId="23" fillId="0" borderId="44" applyAlignment="1" pivotButton="0" quotePrefix="0" xfId="1">
      <alignment horizontal="center" vertical="center"/>
    </xf>
    <xf numFmtId="0" fontId="23" fillId="0" borderId="45" applyAlignment="1" pivotButton="0" quotePrefix="0" xfId="1">
      <alignment horizontal="center" vertical="center"/>
    </xf>
    <xf numFmtId="0" fontId="24" fillId="2" borderId="46" applyAlignment="1" pivotButton="0" quotePrefix="0" xfId="1">
      <alignment horizontal="center" vertical="center"/>
    </xf>
    <xf numFmtId="0" fontId="24" fillId="2" borderId="2" applyAlignment="1" pivotButton="0" quotePrefix="0" xfId="1">
      <alignment horizontal="center" vertical="center"/>
    </xf>
    <xf numFmtId="0" fontId="24" fillId="2" borderId="3" applyAlignment="1" pivotButton="0" quotePrefix="0" xfId="1">
      <alignment horizontal="center" vertical="center"/>
    </xf>
    <xf numFmtId="0" fontId="24" fillId="2" borderId="5" applyAlignment="1" pivotButton="0" quotePrefix="0" xfId="1">
      <alignment horizontal="center" vertical="center"/>
    </xf>
    <xf numFmtId="0" fontId="14" fillId="3" borderId="11" applyAlignment="1" pivotButton="0" quotePrefix="0" xfId="1">
      <alignment horizontal="left" vertical="center" wrapText="1"/>
    </xf>
    <xf numFmtId="0" fontId="14" fillId="3" borderId="9" applyAlignment="1" pivotButton="0" quotePrefix="0" xfId="1">
      <alignment horizontal="left" vertical="center" wrapText="1"/>
    </xf>
    <xf numFmtId="0" fontId="14" fillId="0" borderId="9" applyAlignment="1" pivotButton="0" quotePrefix="0" xfId="1">
      <alignment horizontal="left" vertical="center" wrapText="1"/>
    </xf>
    <xf numFmtId="0" fontId="20" fillId="3" borderId="6" applyAlignment="1" pivotButton="0" quotePrefix="0" xfId="1">
      <alignment horizontal="right" vertical="center" wrapText="1"/>
    </xf>
    <xf numFmtId="0" fontId="20" fillId="3" borderId="8" applyAlignment="1" pivotButton="0" quotePrefix="0" xfId="1">
      <alignment horizontal="right" vertical="center" wrapText="1"/>
    </xf>
    <xf numFmtId="0" fontId="20" fillId="0" borderId="12" applyAlignment="1" pivotButton="0" quotePrefix="0" xfId="1">
      <alignment horizontal="right" vertical="center" wrapText="1"/>
    </xf>
    <xf numFmtId="0" fontId="20" fillId="0" borderId="8" applyAlignment="1" pivotButton="0" quotePrefix="0" xfId="1">
      <alignment horizontal="right" vertical="center" wrapText="1"/>
    </xf>
    <xf numFmtId="0" fontId="14" fillId="0" borderId="6" applyAlignment="1" pivotButton="0" quotePrefix="0" xfId="1">
      <alignment horizontal="center" vertical="center" wrapText="1"/>
    </xf>
    <xf numFmtId="0" fontId="14" fillId="0" borderId="7" applyAlignment="1" pivotButton="0" quotePrefix="0" xfId="1">
      <alignment horizontal="center" vertical="center" wrapText="1"/>
    </xf>
    <xf numFmtId="0" fontId="14" fillId="0" borderId="10" applyAlignment="1" pivotButton="0" quotePrefix="0" xfId="1">
      <alignment horizontal="center" vertical="center" wrapText="1"/>
    </xf>
    <xf numFmtId="0" fontId="21" fillId="0" borderId="6" applyAlignment="1" pivotButton="0" quotePrefix="0" xfId="1">
      <alignment horizontal="right" vertical="center"/>
    </xf>
    <xf numFmtId="0" fontId="21" fillId="0" borderId="7" applyAlignment="1" pivotButton="0" quotePrefix="0" xfId="1">
      <alignment horizontal="right" vertical="center"/>
    </xf>
    <xf numFmtId="0" fontId="21" fillId="0" borderId="8" applyAlignment="1" pivotButton="0" quotePrefix="0" xfId="1">
      <alignment horizontal="right" vertical="center"/>
    </xf>
    <xf numFmtId="0" fontId="21" fillId="0" borderId="12" applyAlignment="1" pivotButton="0" quotePrefix="0" xfId="1">
      <alignment horizontal="right" vertical="center"/>
    </xf>
    <xf numFmtId="0" fontId="21" fillId="0" borderId="10" applyAlignment="1" pivotButton="0" quotePrefix="0" xfId="1">
      <alignment horizontal="right" vertical="center"/>
    </xf>
    <xf numFmtId="0" fontId="21" fillId="0" borderId="36" applyAlignment="1" pivotButton="0" quotePrefix="0" xfId="1">
      <alignment horizontal="right" vertical="center"/>
    </xf>
    <xf numFmtId="0" fontId="21" fillId="0" borderId="37" applyAlignment="1" pivotButton="0" quotePrefix="0" xfId="1">
      <alignment horizontal="right" vertical="center"/>
    </xf>
    <xf numFmtId="0" fontId="21" fillId="0" borderId="41" applyAlignment="1" pivotButton="0" quotePrefix="0" xfId="1">
      <alignment horizontal="right" vertical="center"/>
    </xf>
    <xf numFmtId="0" fontId="21" fillId="0" borderId="15" applyAlignment="1" pivotButton="0" quotePrefix="0" xfId="1">
      <alignment horizontal="right" vertical="center"/>
    </xf>
    <xf numFmtId="0" fontId="21" fillId="0" borderId="42" applyAlignment="1" pivotButton="0" quotePrefix="0" xfId="1">
      <alignment horizontal="right" vertical="center"/>
    </xf>
    <xf numFmtId="0" fontId="20" fillId="3" borderId="11" applyAlignment="1" pivotButton="0" quotePrefix="0" xfId="1">
      <alignment horizontal="center" vertical="center" wrapText="1"/>
    </xf>
    <xf numFmtId="0" fontId="20" fillId="3" borderId="9" applyAlignment="1" pivotButton="0" quotePrefix="0" xfId="1">
      <alignment horizontal="center" vertical="center" wrapText="1"/>
    </xf>
    <xf numFmtId="0" fontId="20" fillId="0" borderId="9" applyAlignment="1" pivotButton="0" quotePrefix="0" xfId="1">
      <alignment horizontal="center" vertical="center" wrapText="1"/>
    </xf>
    <xf numFmtId="0" fontId="20" fillId="3" borderId="11" applyAlignment="1" pivotButton="0" quotePrefix="0" xfId="1">
      <alignment horizontal="right" vertical="center" wrapText="1"/>
    </xf>
    <xf numFmtId="0" fontId="20" fillId="3" borderId="9" applyAlignment="1" pivotButton="0" quotePrefix="0" xfId="1">
      <alignment horizontal="right" vertical="center" wrapText="1"/>
    </xf>
    <xf numFmtId="0" fontId="20" fillId="0" borderId="9" applyAlignment="1" pivotButton="0" quotePrefix="0" xfId="1">
      <alignment horizontal="right" vertical="center" wrapText="1"/>
    </xf>
    <xf numFmtId="1" fontId="20" fillId="3" borderId="9" applyAlignment="1" pivotButton="0" quotePrefix="0" xfId="1">
      <alignment horizontal="center" vertical="center"/>
    </xf>
    <xf numFmtId="14" fontId="20" fillId="0" borderId="9" applyAlignment="1" pivotButton="0" quotePrefix="0" xfId="1">
      <alignment horizontal="center" vertical="center"/>
    </xf>
    <xf numFmtId="14" fontId="20" fillId="0" borderId="35" applyAlignment="1" pivotButton="0" quotePrefix="0" xfId="1">
      <alignment horizontal="center" vertical="center"/>
    </xf>
    <xf numFmtId="0" fontId="19" fillId="2" borderId="6" applyAlignment="1" pivotButton="0" quotePrefix="0" xfId="1">
      <alignment horizontal="right" vertical="center"/>
    </xf>
    <xf numFmtId="0" fontId="19" fillId="2" borderId="8" applyAlignment="1" pivotButton="0" quotePrefix="0" xfId="1">
      <alignment horizontal="right" vertical="center"/>
    </xf>
    <xf numFmtId="0" fontId="17" fillId="0" borderId="6" applyAlignment="1" pivotButton="0" quotePrefix="0" xfId="1">
      <alignment horizontal="left" vertical="center" wrapText="1"/>
    </xf>
    <xf numFmtId="0" fontId="17" fillId="0" borderId="7" applyAlignment="1" pivotButton="0" quotePrefix="0" xfId="1">
      <alignment horizontal="left" vertical="center" wrapText="1"/>
    </xf>
    <xf numFmtId="0" fontId="17" fillId="0" borderId="8" applyAlignment="1" pivotButton="0" quotePrefix="0" xfId="1">
      <alignment horizontal="left" vertical="center" wrapText="1"/>
    </xf>
    <xf numFmtId="0" fontId="17" fillId="4" borderId="12" applyAlignment="1" pivotButton="0" quotePrefix="0" xfId="1">
      <alignment horizontal="center" vertical="center"/>
    </xf>
    <xf numFmtId="0" fontId="17" fillId="4" borderId="10" applyAlignment="1" pivotButton="0" quotePrefix="0" xfId="1">
      <alignment horizontal="center" vertical="center"/>
    </xf>
    <xf numFmtId="0" fontId="19" fillId="2" borderId="36" applyAlignment="1" pivotButton="0" quotePrefix="0" xfId="1">
      <alignment horizontal="right" vertical="center"/>
    </xf>
    <xf numFmtId="0" fontId="19" fillId="2" borderId="37" applyAlignment="1" pivotButton="0" quotePrefix="0" xfId="1">
      <alignment horizontal="right" vertical="center"/>
    </xf>
    <xf numFmtId="0" fontId="12" fillId="2" borderId="18" applyAlignment="1" pivotButton="0" quotePrefix="0" xfId="1">
      <alignment horizontal="center" vertical="center"/>
    </xf>
    <xf numFmtId="0" fontId="12" fillId="2" borderId="19" applyAlignment="1" pivotButton="0" quotePrefix="0" xfId="1">
      <alignment horizontal="center" vertical="center"/>
    </xf>
    <xf numFmtId="0" fontId="12" fillId="2" borderId="39" applyAlignment="1" pivotButton="0" quotePrefix="0" xfId="1">
      <alignment horizontal="center" vertical="center"/>
    </xf>
    <xf numFmtId="0" fontId="12" fillId="2" borderId="29" applyAlignment="1" pivotButton="0" quotePrefix="0" xfId="1">
      <alignment horizontal="center" vertical="center"/>
    </xf>
    <xf numFmtId="0" fontId="12" fillId="2" borderId="34" applyAlignment="1" pivotButton="0" quotePrefix="0" xfId="1">
      <alignment horizontal="center" vertical="center"/>
    </xf>
    <xf numFmtId="0" fontId="12" fillId="2" borderId="40" applyAlignment="1" pivotButton="0" quotePrefix="0" xfId="1">
      <alignment horizontal="center" vertical="center"/>
    </xf>
    <xf numFmtId="0" fontId="14" fillId="0" borderId="6" applyAlignment="1" pivotButton="0" quotePrefix="0" xfId="1">
      <alignment horizontal="center" vertical="center"/>
    </xf>
    <xf numFmtId="0" fontId="14" fillId="0" borderId="8" applyAlignment="1" pivotButton="0" quotePrefix="0" xfId="1">
      <alignment horizontal="center" vertical="center"/>
    </xf>
    <xf numFmtId="0" fontId="18" fillId="3" borderId="6" applyAlignment="1" pivotButton="0" quotePrefix="0" xfId="1">
      <alignment horizontal="center" vertical="center" wrapText="1"/>
    </xf>
    <xf numFmtId="0" fontId="18" fillId="3" borderId="7" applyAlignment="1" pivotButton="0" quotePrefix="0" xfId="1">
      <alignment horizontal="center" vertical="center" wrapText="1"/>
    </xf>
    <xf numFmtId="0" fontId="18" fillId="3" borderId="10" applyAlignment="1" pivotButton="0" quotePrefix="0" xfId="1">
      <alignment horizontal="center" vertical="center" wrapText="1"/>
    </xf>
    <xf numFmtId="0" fontId="17" fillId="0" borderId="12" applyAlignment="1" pivotButton="0" quotePrefix="0" xfId="1">
      <alignment horizontal="center" vertical="center"/>
    </xf>
    <xf numFmtId="0" fontId="17" fillId="0" borderId="10" applyAlignment="1" pivotButton="0" quotePrefix="0" xfId="1">
      <alignment horizontal="center" vertical="center"/>
    </xf>
    <xf numFmtId="0" fontId="17" fillId="0" borderId="6" applyAlignment="1" pivotButton="0" quotePrefix="0" xfId="1">
      <alignment horizontal="left" vertical="center"/>
    </xf>
    <xf numFmtId="0" fontId="17" fillId="0" borderId="8" applyAlignment="1" pivotButton="0" quotePrefix="0" xfId="1">
      <alignment horizontal="left" vertical="center"/>
    </xf>
    <xf numFmtId="0" fontId="14" fillId="0" borderId="6" applyAlignment="1" pivotButton="0" quotePrefix="0" xfId="1">
      <alignment horizontal="left" vertical="center" wrapText="1"/>
    </xf>
    <xf numFmtId="0" fontId="14" fillId="0" borderId="8" applyAlignment="1" pivotButton="0" quotePrefix="0" xfId="1">
      <alignment horizontal="left" vertical="center" wrapText="1"/>
    </xf>
    <xf numFmtId="0" fontId="14" fillId="0" borderId="11" applyAlignment="1" pivotButton="0" quotePrefix="0" xfId="1">
      <alignment horizontal="left" vertical="center" wrapText="1"/>
    </xf>
    <xf numFmtId="0" fontId="16" fillId="0" borderId="6" applyAlignment="1" pivotButton="0" quotePrefix="0" xfId="1">
      <alignment horizontal="right" vertical="center" wrapText="1"/>
    </xf>
    <xf numFmtId="0" fontId="16" fillId="0" borderId="7" applyAlignment="1" pivotButton="0" quotePrefix="0" xfId="1">
      <alignment horizontal="right" vertical="center" wrapText="1"/>
    </xf>
    <xf numFmtId="0" fontId="16" fillId="0" borderId="8" applyAlignment="1" pivotButton="0" quotePrefix="0" xfId="1">
      <alignment horizontal="right" vertical="center" wrapText="1"/>
    </xf>
    <xf numFmtId="0" fontId="14" fillId="0" borderId="29" applyAlignment="1" pivotButton="0" quotePrefix="0" xfId="1">
      <alignment horizontal="left" vertical="center" wrapText="1"/>
    </xf>
    <xf numFmtId="0" fontId="14" fillId="0" borderId="30" applyAlignment="1" pivotButton="0" quotePrefix="0" xfId="1">
      <alignment horizontal="left" vertical="center"/>
    </xf>
    <xf numFmtId="0" fontId="14" fillId="0" borderId="6" applyAlignment="1" pivotButton="0" quotePrefix="0" xfId="1">
      <alignment horizontal="left" vertical="center"/>
    </xf>
    <xf numFmtId="0" fontId="14" fillId="0" borderId="8" applyAlignment="1" pivotButton="0" quotePrefix="0" xfId="1">
      <alignment horizontal="left" vertical="center"/>
    </xf>
    <xf numFmtId="0" fontId="11" fillId="2" borderId="13" applyAlignment="1" pivotButton="0" quotePrefix="0" xfId="1">
      <alignment horizontal="center" vertical="center" wrapText="1"/>
    </xf>
    <xf numFmtId="0" fontId="11" fillId="2" borderId="14" applyAlignment="1" pivotButton="0" quotePrefix="0" xfId="1">
      <alignment horizontal="center" vertical="center" wrapText="1"/>
    </xf>
    <xf numFmtId="0" fontId="6" fillId="0" borderId="15" applyAlignment="1" pivotButton="0" quotePrefix="0" xfId="1">
      <alignment horizontal="left" vertical="center" wrapText="1"/>
    </xf>
    <xf numFmtId="0" fontId="6" fillId="0" borderId="16" applyAlignment="1" pivotButton="0" quotePrefix="0" xfId="1">
      <alignment horizontal="left" vertical="center" wrapText="1"/>
    </xf>
    <xf numFmtId="0" fontId="6" fillId="0" borderId="17" applyAlignment="1" pivotButton="0" quotePrefix="0" xfId="1">
      <alignment horizontal="left" vertical="center" wrapText="1"/>
    </xf>
    <xf numFmtId="164" fontId="8" fillId="0" borderId="15" applyAlignment="1" pivotButton="0" quotePrefix="0" xfId="1">
      <alignment horizontal="center" vertical="center" wrapText="1"/>
    </xf>
    <xf numFmtId="164" fontId="8" fillId="0" borderId="37" applyAlignment="1" pivotButton="0" quotePrefix="0" xfId="1">
      <alignment horizontal="center" vertical="center" wrapText="1"/>
    </xf>
    <xf numFmtId="164" fontId="8" fillId="0" borderId="42" applyAlignment="1" pivotButton="0" quotePrefix="0" xfId="1">
      <alignment horizontal="center" vertical="center" wrapText="1"/>
    </xf>
    <xf numFmtId="0" fontId="12" fillId="2" borderId="20" applyAlignment="1" pivotButton="0" quotePrefix="0" xfId="1">
      <alignment horizontal="center" vertical="center"/>
    </xf>
    <xf numFmtId="0" fontId="12" fillId="2" borderId="24" applyAlignment="1" pivotButton="0" quotePrefix="0" xfId="1">
      <alignment horizontal="center" vertical="center"/>
    </xf>
    <xf numFmtId="0" fontId="12" fillId="2" borderId="25" applyAlignment="1" pivotButton="0" quotePrefix="0" xfId="1">
      <alignment horizontal="center" vertical="center"/>
    </xf>
    <xf numFmtId="0" fontId="12" fillId="2" borderId="26" applyAlignment="1" pivotButton="0" quotePrefix="0" xfId="1">
      <alignment horizontal="center" vertical="center"/>
    </xf>
    <xf numFmtId="0" fontId="13" fillId="2" borderId="21" applyAlignment="1" pivotButton="0" quotePrefix="0" xfId="1">
      <alignment horizontal="center" vertical="center"/>
    </xf>
    <xf numFmtId="0" fontId="13" fillId="2" borderId="27" applyAlignment="1" pivotButton="0" quotePrefix="0" xfId="1">
      <alignment horizontal="center" vertical="center"/>
    </xf>
    <xf numFmtId="0" fontId="12" fillId="2" borderId="18" applyAlignment="1" pivotButton="0" quotePrefix="0" xfId="1">
      <alignment horizontal="center" vertical="center" wrapText="1"/>
    </xf>
    <xf numFmtId="0" fontId="13" fillId="2" borderId="22" applyAlignment="1" pivotButton="0" quotePrefix="0" xfId="1">
      <alignment horizontal="center" vertical="center"/>
    </xf>
    <xf numFmtId="0" fontId="13" fillId="2" borderId="28" applyAlignment="1" pivotButton="0" quotePrefix="0" xfId="1">
      <alignment horizontal="center" vertical="center"/>
    </xf>
    <xf numFmtId="0" fontId="12" fillId="2" borderId="23" applyAlignment="1" pivotButton="0" quotePrefix="0" xfId="1">
      <alignment horizontal="center" vertical="center"/>
    </xf>
    <xf numFmtId="0" fontId="12" fillId="2" borderId="4" applyAlignment="1" pivotButton="0" quotePrefix="0" xfId="1">
      <alignment horizontal="center" vertical="center"/>
    </xf>
    <xf numFmtId="0" fontId="12" fillId="2" borderId="13" applyAlignment="1" pivotButton="0" quotePrefix="0" xfId="1">
      <alignment horizontal="center" vertical="center"/>
    </xf>
    <xf numFmtId="0" fontId="12" fillId="2" borderId="14" applyAlignment="1" pivotButton="0" quotePrefix="0" xfId="1">
      <alignment horizontal="center" vertical="center"/>
    </xf>
    <xf numFmtId="0" fontId="12" fillId="2" borderId="4" applyAlignment="1" pivotButton="0" quotePrefix="0" xfId="1">
      <alignment horizontal="center" vertical="center" wrapText="1"/>
    </xf>
    <xf numFmtId="0" fontId="12" fillId="2" borderId="14" applyAlignment="1" pivotButton="0" quotePrefix="0" xfId="1">
      <alignment horizontal="center" vertical="center" wrapText="1"/>
    </xf>
    <xf numFmtId="0" fontId="12" fillId="2" borderId="21" applyAlignment="1" pivotButton="0" quotePrefix="0" xfId="1">
      <alignment horizontal="center" vertical="center" wrapText="1"/>
    </xf>
    <xf numFmtId="0" fontId="12" fillId="2" borderId="27" applyAlignment="1" pivotButton="0" quotePrefix="0" xfId="1">
      <alignment horizontal="center" vertical="center" wrapText="1"/>
    </xf>
    <xf numFmtId="0" fontId="6" fillId="0" borderId="6" applyAlignment="1" pivotButton="0" quotePrefix="0" xfId="1">
      <alignment horizontal="center" vertical="center" wrapText="1"/>
    </xf>
    <xf numFmtId="0" fontId="6" fillId="0" borderId="7" applyAlignment="1" pivotButton="0" quotePrefix="0" xfId="1">
      <alignment horizontal="center" vertical="center" wrapText="1"/>
    </xf>
    <xf numFmtId="0" fontId="6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 wrapText="1"/>
    </xf>
    <xf numFmtId="0" fontId="7" fillId="0" borderId="9" applyAlignment="1" pivotButton="0" quotePrefix="0" xfId="1">
      <alignment horizontal="center" vertical="center" wrapText="1"/>
    </xf>
    <xf numFmtId="0" fontId="6" fillId="0" borderId="8" applyAlignment="1" pivotButton="0" quotePrefix="0" xfId="1">
      <alignment horizontal="left" vertical="center" wrapText="1"/>
    </xf>
    <xf numFmtId="0" fontId="6" fillId="0" borderId="9" applyAlignment="1" pivotButton="0" quotePrefix="0" xfId="1">
      <alignment horizontal="left" vertical="center" wrapText="1"/>
    </xf>
    <xf numFmtId="164" fontId="8" fillId="0" borderId="7" applyAlignment="1" pivotButton="0" quotePrefix="0" xfId="1">
      <alignment horizontal="center" vertical="center" wrapText="1"/>
    </xf>
    <xf numFmtId="164" fontId="8" fillId="0" borderId="10" applyAlignment="1" pivotButton="0" quotePrefix="0" xfId="1">
      <alignment horizontal="center" vertical="center" wrapText="1"/>
    </xf>
    <xf numFmtId="0" fontId="9" fillId="0" borderId="11" applyAlignment="1" pivotButton="0" quotePrefix="0" xfId="1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12" applyAlignment="1" pivotButton="0" quotePrefix="0" xfId="1">
      <alignment horizontal="center" vertical="center" wrapText="1"/>
    </xf>
    <xf numFmtId="0" fontId="10" fillId="0" borderId="9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left" vertical="center" wrapText="1"/>
    </xf>
    <xf numFmtId="0" fontId="6" fillId="0" borderId="7" applyAlignment="1" pivotButton="0" quotePrefix="0" xfId="1">
      <alignment horizontal="left" vertical="center" wrapText="1"/>
    </xf>
    <xf numFmtId="164" fontId="9" fillId="0" borderId="12" applyAlignment="1" pivotButton="0" quotePrefix="0" xfId="1">
      <alignment horizontal="center" vertical="center" wrapText="1"/>
    </xf>
    <xf numFmtId="164" fontId="9" fillId="0" borderId="7" applyAlignment="1" pivotButton="0" quotePrefix="0" xfId="1">
      <alignment horizontal="center" vertical="center" wrapText="1"/>
    </xf>
    <xf numFmtId="164" fontId="9" fillId="0" borderId="10" applyAlignment="1" pivotButton="0" quotePrefix="0" xfId="1">
      <alignment horizontal="center" vertical="center" wrapText="1"/>
    </xf>
    <xf numFmtId="0" fontId="3" fillId="0" borderId="23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11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164" fontId="9" fillId="0" borderId="35" applyAlignment="1" pivotButton="0" quotePrefix="0" xfId="1">
      <alignment horizontal="center" vertical="center" wrapText="1"/>
    </xf>
    <xf numFmtId="0" fontId="0" fillId="0" borderId="37" pivotButton="0" quotePrefix="0" xfId="0"/>
    <xf numFmtId="0" fontId="0" fillId="0" borderId="41" pivotButton="0" quotePrefix="0" xfId="0"/>
    <xf numFmtId="0" fontId="6" fillId="0" borderId="14" applyAlignment="1" pivotButton="0" quotePrefix="0" xfId="1">
      <alignment horizontal="left" vertical="center" wrapText="1"/>
    </xf>
    <xf numFmtId="164" fontId="8" fillId="0" borderId="38" applyAlignment="1" pivotButton="0" quotePrefix="0" xfId="1">
      <alignment horizontal="center" vertical="center" wrapText="1"/>
    </xf>
    <xf numFmtId="0" fontId="0" fillId="0" borderId="42" pivotButton="0" quotePrefix="0" xfId="0"/>
    <xf numFmtId="0" fontId="12" fillId="2" borderId="58" applyAlignment="1" pivotButton="0" quotePrefix="0" xfId="1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3" fillId="2" borderId="54" applyAlignment="1" pivotButton="0" quotePrefix="0" xfId="1">
      <alignment horizontal="center" vertical="center"/>
    </xf>
    <xf numFmtId="0" fontId="12" fillId="2" borderId="43" applyAlignment="1" pivotButton="0" quotePrefix="0" xfId="1">
      <alignment horizontal="center" vertical="center" wrapText="1"/>
    </xf>
    <xf numFmtId="0" fontId="13" fillId="2" borderId="60" applyAlignment="1" pivotButton="0" quotePrefix="0" xfId="1">
      <alignment horizontal="center" vertical="center"/>
    </xf>
    <xf numFmtId="0" fontId="12" fillId="2" borderId="54" applyAlignment="1" pivotButton="0" quotePrefix="0" xfId="1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2" pivotButton="0" quotePrefix="0" xfId="0"/>
    <xf numFmtId="0" fontId="14" fillId="0" borderId="56" applyAlignment="1" pivotButton="0" quotePrefix="0" xfId="1">
      <alignment horizontal="left" vertical="center" wrapText="1"/>
    </xf>
    <xf numFmtId="0" fontId="14" fillId="0" borderId="11" applyAlignment="1" pivotButton="0" quotePrefix="0" xfId="1">
      <alignment horizontal="center" vertical="center"/>
    </xf>
    <xf numFmtId="0" fontId="16" fillId="0" borderId="11" applyAlignment="1" pivotButton="0" quotePrefix="0" xfId="1">
      <alignment horizontal="right" vertical="center" wrapText="1"/>
    </xf>
    <xf numFmtId="0" fontId="18" fillId="3" borderId="61" applyAlignment="1" pivotButton="0" quotePrefix="0" xfId="1">
      <alignment horizontal="center" vertical="center" wrapText="1"/>
    </xf>
    <xf numFmtId="0" fontId="17" fillId="0" borderId="11" applyAlignment="1" pivotButton="0" quotePrefix="0" xfId="1">
      <alignment horizontal="left" vertical="center" wrapText="1"/>
    </xf>
    <xf numFmtId="0" fontId="17" fillId="4" borderId="35" applyAlignment="1" pivotButton="0" quotePrefix="0" xfId="1">
      <alignment horizontal="center" vertical="center"/>
    </xf>
    <xf numFmtId="0" fontId="12" fillId="2" borderId="62" applyAlignment="1" pivotButton="0" quotePrefix="0" xfId="1">
      <alignment horizontal="center" vertical="center"/>
    </xf>
    <xf numFmtId="0" fontId="0" fillId="0" borderId="39" pivotButton="0" quotePrefix="0" xfId="0"/>
    <xf numFmtId="0" fontId="0" fillId="0" borderId="34" pivotButton="0" quotePrefix="0" xfId="0"/>
    <xf numFmtId="0" fontId="0" fillId="0" borderId="40" pivotButton="0" quotePrefix="0" xfId="0"/>
    <xf numFmtId="0" fontId="14" fillId="0" borderId="61" applyAlignment="1" pivotButton="0" quotePrefix="0" xfId="1">
      <alignment horizontal="center" vertical="center" wrapText="1"/>
    </xf>
    <xf numFmtId="0" fontId="21" fillId="0" borderId="11" applyAlignment="1" pivotButton="0" quotePrefix="0" xfId="1">
      <alignment horizontal="right" vertical="center"/>
    </xf>
    <xf numFmtId="0" fontId="21" fillId="0" borderId="35" applyAlignment="1" pivotButton="0" quotePrefix="0" xfId="1">
      <alignment horizontal="right" vertical="center"/>
    </xf>
    <xf numFmtId="0" fontId="21" fillId="0" borderId="13" applyAlignment="1" pivotButton="0" quotePrefix="0" xfId="1">
      <alignment horizontal="right" vertical="center"/>
    </xf>
    <xf numFmtId="0" fontId="21" fillId="0" borderId="38" applyAlignment="1" pivotButton="0" quotePrefix="0" xfId="1">
      <alignment horizontal="right" vertical="center"/>
    </xf>
    <xf numFmtId="0" fontId="23" fillId="0" borderId="63" applyAlignment="1" pivotButton="0" quotePrefix="0" xfId="1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24" fillId="2" borderId="4" applyAlignment="1" pivotButton="0" quotePrefix="0" xfId="1">
      <alignment horizontal="center" vertical="center"/>
    </xf>
    <xf numFmtId="0" fontId="24" fillId="2" borderId="64" applyAlignment="1" pivotButton="0" quotePrefix="0" xfId="1">
      <alignment horizontal="center" vertical="center"/>
    </xf>
    <xf numFmtId="0" fontId="16" fillId="5" borderId="9" applyAlignment="1" pivotButton="0" quotePrefix="0" xfId="1">
      <alignment horizontal="left" vertical="center" wrapText="1"/>
    </xf>
    <xf numFmtId="0" fontId="17" fillId="5" borderId="35" applyAlignment="1" pivotButton="0" quotePrefix="0" xfId="1">
      <alignment horizontal="left" vertical="top" wrapText="1"/>
    </xf>
    <xf numFmtId="0" fontId="25" fillId="0" borderId="9" applyAlignment="1" pivotButton="0" quotePrefix="0" xfId="1">
      <alignment horizontal="left" vertical="center" wrapText="1"/>
    </xf>
    <xf numFmtId="0" fontId="17" fillId="4" borderId="35" applyAlignment="1" pivotButton="0" quotePrefix="0" xfId="1">
      <alignment horizontal="left" vertical="center" wrapText="1"/>
    </xf>
    <xf numFmtId="0" fontId="25" fillId="0" borderId="9" applyAlignment="1" pivotButton="0" quotePrefix="1" xfId="1">
      <alignment horizontal="left" vertical="center" wrapText="1"/>
    </xf>
    <xf numFmtId="0" fontId="19" fillId="4" borderId="35" applyAlignment="1" pivotButton="0" quotePrefix="0" xfId="1">
      <alignment horizontal="left" vertical="top" wrapText="1"/>
    </xf>
    <xf numFmtId="0" fontId="17" fillId="4" borderId="35" applyAlignment="1" pivotButton="0" quotePrefix="0" xfId="1">
      <alignment horizontal="left" vertical="top" wrapText="1"/>
    </xf>
    <xf numFmtId="0" fontId="16" fillId="0" borderId="9" applyAlignment="1" pivotButton="0" quotePrefix="0" xfId="1">
      <alignment horizontal="left" vertical="center" wrapText="1"/>
    </xf>
    <xf numFmtId="0" fontId="13" fillId="0" borderId="58" applyAlignment="1" pivotButton="0" quotePrefix="0" xfId="1">
      <alignment horizontal="center" vertical="center" textRotation="90"/>
    </xf>
    <xf numFmtId="0" fontId="0" fillId="0" borderId="48" pivotButton="0" quotePrefix="0" xfId="0"/>
    <xf numFmtId="0" fontId="13" fillId="2" borderId="9" applyAlignment="1" pivotButton="0" quotePrefix="0" xfId="1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52" pivotButton="0" quotePrefix="0" xfId="0"/>
    <xf numFmtId="0" fontId="0" fillId="0" borderId="57" pivotButton="0" quotePrefix="0" xfId="0"/>
    <xf numFmtId="0" fontId="0" fillId="0" borderId="50" pivotButton="0" quotePrefix="0" xfId="0"/>
    <xf numFmtId="0" fontId="0" fillId="0" borderId="31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jpe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jpe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jpe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jpe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jpe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jpeg" Id="rId24"/></Relationships>
</file>

<file path=xl/drawings/drawing1.xml><?xml version="1.0" encoding="utf-8"?>
<wsDr xmlns="http://schemas.openxmlformats.org/drawingml/2006/spreadsheetDrawing">
  <twoCellAnchor editAs="oneCell">
    <from>
      <col>2</col>
      <colOff>12110</colOff>
      <row>1</row>
      <rowOff>360910</rowOff>
    </from>
    <to>
      <col>4</col>
      <colOff>379740</colOff>
      <row>1</row>
      <rowOff>860133</rowOff>
    </to>
    <pic>
      <nvPicPr>
        <cNvPr id="6" name="Resi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29181" y="496981"/>
          <a:ext cx="2014095" cy="5106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39557</colOff>
      <row>55</row>
      <rowOff>320505</rowOff>
    </from>
    <to>
      <col>4</col>
      <colOff>403377</colOff>
      <row>55</row>
      <rowOff>857300</rowOff>
    </to>
    <pic>
      <nvPicPr>
        <cNvPr id="14" name="Resim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56628" y="16962041"/>
          <a:ext cx="2021715" cy="5329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190500</colOff>
      <row>1</row>
      <rowOff>86633</rowOff>
    </from>
    <to>
      <col>14</col>
      <colOff>435349</colOff>
      <row>1</row>
      <rowOff>975001</rowOff>
    </to>
    <pic>
      <nvPicPr>
        <cNvPr id="11" name="Resim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8236324" y="221104"/>
          <a:ext cx="2478405" cy="8845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</col>
      <colOff>12110</colOff>
      <row>99</row>
      <rowOff>360910</rowOff>
    </from>
    <ext cx="2022290" cy="491603"/>
    <pic>
      <nvPicPr>
        <cNvPr id="20" name="Resim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31391" y="499191"/>
          <a:ext cx="2022290" cy="4916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39557</colOff>
      <row>153</row>
      <rowOff>320505</rowOff>
    </from>
    <ext cx="2018480" cy="529175"/>
    <pic>
      <nvPicPr>
        <cNvPr id="27" name="Resim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55028" y="16987462"/>
          <a:ext cx="2018480" cy="529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190500</colOff>
      <row>99</row>
      <rowOff>86633</rowOff>
    </from>
    <ext cx="2489835" cy="882653"/>
    <pic>
      <nvPicPr>
        <cNvPr id="29" name="Resim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236324" y="223009"/>
          <a:ext cx="2489835" cy="8826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12110</colOff>
      <row>214</row>
      <rowOff>360910</rowOff>
    </from>
    <ext cx="2022290" cy="495413"/>
    <pic>
      <nvPicPr>
        <cNvPr id="34" name="Resim 3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31391" y="499191"/>
          <a:ext cx="2022290" cy="49541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39557</colOff>
      <row>268</row>
      <rowOff>320505</rowOff>
    </from>
    <ext cx="2022290" cy="532985"/>
    <pic>
      <nvPicPr>
        <cNvPr id="41" name="Resim 4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55028" y="16987462"/>
          <a:ext cx="2022290" cy="5329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190500</colOff>
      <row>214</row>
      <rowOff>86633</rowOff>
    </from>
    <ext cx="2486025" cy="886463"/>
    <pic>
      <nvPicPr>
        <cNvPr id="43" name="Resim 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8236324" y="223009"/>
          <a:ext cx="2486025" cy="886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12110</colOff>
      <row>329</row>
      <rowOff>360910</rowOff>
    </from>
    <ext cx="2022290" cy="491603"/>
    <pic>
      <nvPicPr>
        <cNvPr id="48" name="Resim 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31391" y="499191"/>
          <a:ext cx="2022290" cy="4916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39557</colOff>
      <row>383</row>
      <rowOff>320505</rowOff>
    </from>
    <ext cx="2018480" cy="529175"/>
    <pic>
      <nvPicPr>
        <cNvPr id="55" name="Resim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55028" y="16987462"/>
          <a:ext cx="2018480" cy="529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190500</colOff>
      <row>329</row>
      <rowOff>86633</rowOff>
    </from>
    <ext cx="2489835" cy="882653"/>
    <pic>
      <nvPicPr>
        <cNvPr id="57" name="Resim 5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8236324" y="223009"/>
          <a:ext cx="2489835" cy="8826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12110</colOff>
      <row>444</row>
      <rowOff>360910</rowOff>
    </from>
    <ext cx="2022290" cy="495413"/>
    <pic>
      <nvPicPr>
        <cNvPr id="62" name="Resim 6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31391" y="499191"/>
          <a:ext cx="2022290" cy="49541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39557</colOff>
      <row>498</row>
      <rowOff>320505</rowOff>
    </from>
    <ext cx="2022290" cy="532985"/>
    <pic>
      <nvPicPr>
        <cNvPr id="69" name="Resim 6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55028" y="16987462"/>
          <a:ext cx="2022290" cy="5329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190500</colOff>
      <row>444</row>
      <rowOff>86633</rowOff>
    </from>
    <ext cx="2486025" cy="886463"/>
    <pic>
      <nvPicPr>
        <cNvPr id="71" name="Resim 7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8236324" y="223009"/>
          <a:ext cx="2486025" cy="886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12110</colOff>
      <row>559</row>
      <rowOff>360910</rowOff>
    </from>
    <ext cx="2022290" cy="491603"/>
    <pic>
      <nvPicPr>
        <cNvPr id="76" name="Resim 7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31391" y="499191"/>
          <a:ext cx="2022290" cy="4916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39557</colOff>
      <row>613</row>
      <rowOff>320505</rowOff>
    </from>
    <ext cx="2018480" cy="529175"/>
    <pic>
      <nvPicPr>
        <cNvPr id="83" name="Resim 8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55028" y="16987462"/>
          <a:ext cx="2018480" cy="529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190500</colOff>
      <row>559</row>
      <rowOff>86633</rowOff>
    </from>
    <ext cx="2489835" cy="882653"/>
    <pic>
      <nvPicPr>
        <cNvPr id="85" name="Resim 8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8236324" y="223009"/>
          <a:ext cx="2489835" cy="8826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12110</colOff>
      <row>674</row>
      <rowOff>360910</rowOff>
    </from>
    <ext cx="2022290" cy="495413"/>
    <pic>
      <nvPicPr>
        <cNvPr id="90" name="Resim 8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31391" y="499191"/>
          <a:ext cx="2022290" cy="49541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39557</colOff>
      <row>728</row>
      <rowOff>320505</rowOff>
    </from>
    <ext cx="2022290" cy="532985"/>
    <pic>
      <nvPicPr>
        <cNvPr id="97" name="Resim 9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55028" y="16987462"/>
          <a:ext cx="2022290" cy="5329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190500</colOff>
      <row>674</row>
      <rowOff>86633</rowOff>
    </from>
    <ext cx="2486025" cy="886463"/>
    <pic>
      <nvPicPr>
        <cNvPr id="99" name="Resim 9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8236324" y="223009"/>
          <a:ext cx="2486025" cy="8864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12110</colOff>
      <row>789</row>
      <rowOff>360910</rowOff>
    </from>
    <ext cx="2022290" cy="491603"/>
    <pic>
      <nvPicPr>
        <cNvPr id="104" name="Resim 10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9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31391" y="499191"/>
          <a:ext cx="2022290" cy="49160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39557</colOff>
      <row>843</row>
      <rowOff>320505</rowOff>
    </from>
    <ext cx="2018480" cy="529175"/>
    <pic>
      <nvPicPr>
        <cNvPr id="111" name="Resim 1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0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55028" y="16987462"/>
          <a:ext cx="2018480" cy="529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11</col>
      <colOff>190500</colOff>
      <row>789</row>
      <rowOff>86633</rowOff>
    </from>
    <ext cx="2489835" cy="882653"/>
    <pic>
      <nvPicPr>
        <cNvPr id="113" name="Resim 1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8236324" y="223009"/>
          <a:ext cx="2489835" cy="8826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886"/>
  <sheetViews>
    <sheetView tabSelected="1" view="pageLayout" topLeftCell="A846" zoomScale="85" zoomScaleNormal="85" zoomScaleSheetLayoutView="70" zoomScalePageLayoutView="85" workbookViewId="0">
      <selection activeCell="B793" sqref="B793:I793"/>
    </sheetView>
  </sheetViews>
  <sheetFormatPr baseColWidth="8" defaultColWidth="9.109375" defaultRowHeight="10.2"/>
  <cols>
    <col width="3.6640625" customWidth="1" style="1" min="1" max="1"/>
    <col width="3.6640625" bestFit="1" customWidth="1" style="1" min="2" max="2"/>
    <col width="16.44140625" customWidth="1" style="1" min="3" max="3"/>
    <col width="6.6640625" customWidth="1" style="1" min="4" max="4"/>
    <col width="9.109375" customWidth="1" style="1" min="5" max="5"/>
    <col width="10.109375" customWidth="1" style="1" min="6" max="6"/>
    <col width="21" customWidth="1" style="1" min="7" max="7"/>
    <col width="6.6640625" customWidth="1" style="1" min="8" max="8"/>
    <col width="10.44140625" customWidth="1" style="1" min="9" max="9"/>
    <col width="16.33203125" customWidth="1" style="1" min="10" max="10"/>
    <col width="8.33203125" customWidth="1" style="1" min="11" max="11"/>
    <col width="9.33203125" customWidth="1" style="1" min="12" max="12"/>
    <col width="12.5546875" customWidth="1" style="1" min="13" max="13"/>
    <col width="9.44140625" customWidth="1" style="1" min="14" max="15"/>
    <col width="2.5546875" customWidth="1" style="1" min="16" max="16"/>
    <col width="9.109375" customWidth="1" style="1" min="17" max="16384"/>
  </cols>
  <sheetData>
    <row r="1" ht="10.8" customHeight="1" thickBot="1"/>
    <row r="2" ht="87" customHeight="1">
      <c r="B2" s="213" t="n"/>
      <c r="C2" s="214" t="n"/>
      <c r="D2" s="214" t="n"/>
      <c r="E2" s="215" t="n"/>
      <c r="F2" s="97" t="inlineStr">
        <is>
          <t>GÜNLÜK FAALİYET RAPORU
02780-BGC-SGM-XXX-XXX-DPR-IPY-100001</t>
        </is>
      </c>
      <c r="G2" s="214" t="n"/>
      <c r="H2" s="214" t="n"/>
      <c r="I2" s="214" t="n"/>
      <c r="J2" s="214" t="n"/>
      <c r="K2" s="215" t="n"/>
      <c r="L2" s="99" t="inlineStr">
        <is>
          <t>LOGO</t>
        </is>
      </c>
      <c r="M2" s="214" t="n"/>
      <c r="N2" s="214" t="n"/>
      <c r="O2" s="216" t="n"/>
      <c r="U2" s="2" t="n"/>
    </row>
    <row r="3" ht="37.5" customHeight="1">
      <c r="B3" s="217" t="inlineStr">
        <is>
          <t>İŞVEREN</t>
        </is>
      </c>
      <c r="C3" s="218" t="n"/>
      <c r="D3" s="218" t="n"/>
      <c r="E3" s="219" t="n"/>
      <c r="F3" s="198" t="inlineStr">
        <is>
          <t>ANA YÜKLENİCİ</t>
        </is>
      </c>
      <c r="G3" s="219" t="n"/>
      <c r="H3" s="199" t="n"/>
      <c r="I3" s="219" t="n"/>
      <c r="J3" s="200" t="inlineStr">
        <is>
          <t>TARİH</t>
        </is>
      </c>
      <c r="K3" s="218" t="n"/>
      <c r="L3" s="219" t="n"/>
      <c r="M3" s="203" t="inlineStr">
        <is>
          <t>08.05.2026</t>
        </is>
      </c>
      <c r="N3" s="218" t="n"/>
      <c r="O3" s="220" t="n"/>
    </row>
    <row r="4" ht="30.75" customHeight="1">
      <c r="B4" s="204" t="inlineStr">
        <is>
          <t>Halk Gayrimenkul Yatırım Ortaklığı A.Ş.</t>
        </is>
      </c>
      <c r="C4" s="218" t="n"/>
      <c r="D4" s="218" t="n"/>
      <c r="E4" s="219" t="n"/>
      <c r="F4" s="205" t="inlineStr">
        <is>
          <t>-</t>
        </is>
      </c>
      <c r="G4" s="219" t="n"/>
      <c r="H4" s="207" t="n"/>
      <c r="I4" s="219" t="n"/>
      <c r="J4" s="201" t="inlineStr">
        <is>
          <t>HAVA DURUMU</t>
        </is>
      </c>
      <c r="K4" s="218" t="n"/>
      <c r="L4" s="219" t="n"/>
      <c r="M4" s="221" t="inlineStr">
        <is>
          <t>Hava açık</t>
        </is>
      </c>
      <c r="N4" s="218" t="n"/>
      <c r="O4" s="220" t="n"/>
    </row>
    <row r="5" ht="34.5" customHeight="1" thickBot="1">
      <c r="B5" s="170" t="inlineStr">
        <is>
          <t>HALK GYO ASM BAĞCILAR PROJESİ</t>
        </is>
      </c>
      <c r="C5" s="222" t="n"/>
      <c r="D5" s="222" t="n"/>
      <c r="E5" s="222" t="n"/>
      <c r="F5" s="222" t="n"/>
      <c r="G5" s="222" t="n"/>
      <c r="H5" s="222" t="n"/>
      <c r="I5" s="223" t="n"/>
      <c r="J5" s="224" t="inlineStr">
        <is>
          <t>İŞ BİTİM TARİHİ</t>
        </is>
      </c>
      <c r="K5" s="222" t="n"/>
      <c r="L5" s="223" t="n"/>
      <c r="M5" s="225" t="n"/>
      <c r="N5" s="222" t="n"/>
      <c r="O5" s="226" t="n"/>
    </row>
    <row r="6" ht="17.25" customHeight="1">
      <c r="B6" s="227" t="inlineStr">
        <is>
          <t>İŞVEREN / PROJE YÖNETİMİ</t>
        </is>
      </c>
      <c r="C6" s="228" t="n"/>
      <c r="D6" s="228" t="n"/>
      <c r="E6" s="229" t="n"/>
      <c r="F6" s="230" t="inlineStr">
        <is>
          <t>Kümülatif</t>
        </is>
      </c>
      <c r="G6" s="231" t="inlineStr">
        <is>
          <t>YÜKLENİCİ FİRMA
Teknik Kadro Dahil</t>
        </is>
      </c>
      <c r="H6" s="228" t="n"/>
      <c r="I6" s="228" t="n"/>
      <c r="J6" s="232" t="inlineStr">
        <is>
          <t>Kümülatif</t>
        </is>
      </c>
      <c r="K6" s="187" t="inlineStr">
        <is>
          <t>İŞ MAKİNALARI</t>
        </is>
      </c>
      <c r="L6" s="229" t="n"/>
      <c r="M6" s="191" t="inlineStr">
        <is>
          <t>Giriş Tarihi</t>
        </is>
      </c>
      <c r="N6" s="191" t="inlineStr">
        <is>
          <t>Çıkış Tarihi</t>
        </is>
      </c>
      <c r="O6" s="233" t="inlineStr">
        <is>
          <t>Puantaj (Saat)</t>
        </is>
      </c>
    </row>
    <row r="7" ht="17.25" customHeight="1" thickBot="1">
      <c r="B7" s="234" t="n"/>
      <c r="C7" s="235" t="n"/>
      <c r="D7" s="235" t="n"/>
      <c r="E7" s="236" t="n"/>
      <c r="F7" s="237" t="n"/>
      <c r="G7" s="234" t="n"/>
      <c r="H7" s="235" t="n"/>
      <c r="I7" s="235" t="n"/>
      <c r="J7" s="238" t="n"/>
      <c r="K7" s="239" t="n"/>
      <c r="L7" s="240" t="n"/>
      <c r="M7" s="241" t="n"/>
      <c r="N7" s="241" t="n"/>
      <c r="O7" s="237" t="n"/>
    </row>
    <row r="8" ht="22.5" customHeight="1">
      <c r="B8" s="242" t="inlineStr">
        <is>
          <t>Proje Müdürü Saha-PY</t>
        </is>
      </c>
      <c r="C8" s="240" t="n"/>
      <c r="D8" s="3" t="n">
        <v>0</v>
      </c>
      <c r="E8" s="4" t="n"/>
      <c r="F8" s="5">
        <f>D8</f>
        <v/>
      </c>
      <c r="G8" s="6" t="inlineStr">
        <is>
          <t>Şantiye Şefi-Mukas</t>
        </is>
      </c>
      <c r="H8" s="7" t="n">
        <v>0</v>
      </c>
      <c r="I8" s="8" t="n"/>
      <c r="J8" s="5">
        <f>H8</f>
        <v/>
      </c>
      <c r="K8" s="162" t="inlineStr">
        <is>
          <t>JCB</t>
        </is>
      </c>
      <c r="L8" s="219" t="n"/>
      <c r="M8" s="9" t="n"/>
      <c r="N8" s="9" t="n"/>
      <c r="O8" s="10" t="n">
        <v>0</v>
      </c>
    </row>
    <row r="9" ht="26.25" customHeight="1">
      <c r="B9" s="242" t="inlineStr">
        <is>
          <t>Proje Müdürü Merkez-PY</t>
        </is>
      </c>
      <c r="C9" s="240" t="n"/>
      <c r="D9" s="3" t="n">
        <v>0</v>
      </c>
      <c r="E9" s="11" t="n"/>
      <c r="F9" s="5">
        <f>D9</f>
        <v/>
      </c>
      <c r="G9" s="6" t="inlineStr">
        <is>
          <t>İnşaat Mühendisi</t>
        </is>
      </c>
      <c r="H9" s="7" t="n">
        <v>0</v>
      </c>
      <c r="I9" s="12" t="n"/>
      <c r="J9" s="5">
        <f>H9</f>
        <v/>
      </c>
      <c r="K9" s="162" t="inlineStr">
        <is>
          <t>Fore Kazık Makinası</t>
        </is>
      </c>
      <c r="L9" s="219" t="n"/>
      <c r="M9" s="9" t="n"/>
      <c r="N9" s="9" t="n"/>
      <c r="O9" s="10" t="n">
        <v>0</v>
      </c>
    </row>
    <row r="10" ht="24.75" customHeight="1">
      <c r="B10" s="6" t="inlineStr">
        <is>
          <t>Proje Koordinatörü-PY</t>
        </is>
      </c>
      <c r="C10" s="219" t="n"/>
      <c r="D10" s="3" t="n">
        <v>0</v>
      </c>
      <c r="E10" s="11" t="n"/>
      <c r="F10" s="5">
        <f>D10</f>
        <v/>
      </c>
      <c r="G10" s="6" t="inlineStr">
        <is>
          <t>Elektrik Mühendisi</t>
        </is>
      </c>
      <c r="H10" s="7" t="n">
        <v>0</v>
      </c>
      <c r="I10" s="12" t="n"/>
      <c r="J10" s="5">
        <f>H10</f>
        <v/>
      </c>
      <c r="K10" s="162" t="inlineStr">
        <is>
          <t>Beton Pompası</t>
        </is>
      </c>
      <c r="L10" s="219" t="n"/>
      <c r="M10" s="9" t="n"/>
      <c r="N10" s="9" t="n"/>
      <c r="O10" s="10" t="n">
        <v>8</v>
      </c>
    </row>
    <row r="11" ht="23.25" customHeight="1">
      <c r="B11" s="162" t="inlineStr">
        <is>
          <t>Proje Müdürü Mimar-PY</t>
        </is>
      </c>
      <c r="C11" s="219" t="n"/>
      <c r="D11" s="3" t="n">
        <v>0</v>
      </c>
      <c r="E11" s="11" t="n"/>
      <c r="F11" s="5">
        <f>D11</f>
        <v/>
      </c>
      <c r="G11" s="6" t="inlineStr">
        <is>
          <t>Makine Mühendisi</t>
        </is>
      </c>
      <c r="H11" s="7" t="n">
        <v>0</v>
      </c>
      <c r="I11" s="12" t="n"/>
      <c r="J11" s="5">
        <f>H11</f>
        <v/>
      </c>
      <c r="K11" s="162" t="inlineStr">
        <is>
          <t>Ekskavatör</t>
        </is>
      </c>
      <c r="L11" s="219" t="n"/>
      <c r="M11" s="9" t="n"/>
      <c r="N11" s="9" t="n"/>
      <c r="O11" s="10" t="n">
        <v>0</v>
      </c>
    </row>
    <row r="12" ht="26.25" customHeight="1">
      <c r="B12" s="162" t="inlineStr">
        <is>
          <t>Proje Elektrik Yüksek Mühendisi-PY</t>
        </is>
      </c>
      <c r="C12" s="219" t="n"/>
      <c r="D12" s="3" t="n">
        <v>0</v>
      </c>
      <c r="E12" s="11" t="n"/>
      <c r="F12" s="5">
        <f>D12</f>
        <v/>
      </c>
      <c r="G12" s="6" t="inlineStr">
        <is>
          <t>Formen</t>
        </is>
      </c>
      <c r="H12" s="7" t="n">
        <v>0</v>
      </c>
      <c r="I12" s="12" t="n"/>
      <c r="J12" s="5">
        <f>H12</f>
        <v/>
      </c>
      <c r="K12" s="162" t="inlineStr">
        <is>
          <t>Kamyon</t>
        </is>
      </c>
      <c r="L12" s="219" t="n"/>
      <c r="M12" s="9" t="n"/>
      <c r="N12" s="9" t="n"/>
      <c r="O12" s="10" t="n">
        <v>0</v>
      </c>
    </row>
    <row r="13" ht="26.25" customHeight="1">
      <c r="B13" s="162" t="inlineStr">
        <is>
          <t>Proje Müdürü Makine Mühendisi-PY</t>
        </is>
      </c>
      <c r="C13" s="219" t="n"/>
      <c r="D13" s="3" t="n">
        <v>0</v>
      </c>
      <c r="E13" s="11" t="n"/>
      <c r="F13" s="5">
        <f>D13</f>
        <v/>
      </c>
      <c r="G13" s="6" t="inlineStr">
        <is>
          <t>İş Güvenliği Uzmanı</t>
        </is>
      </c>
      <c r="H13" s="7" t="n">
        <v>0</v>
      </c>
      <c r="I13" s="12" t="n"/>
      <c r="J13" s="5">
        <f>H13</f>
        <v/>
      </c>
      <c r="K13" s="162" t="inlineStr">
        <is>
          <t>Kırıcılı Ekskavatör</t>
        </is>
      </c>
      <c r="L13" s="219" t="n"/>
      <c r="M13" s="9" t="n"/>
      <c r="N13" s="9" t="n"/>
      <c r="O13" s="10" t="n">
        <v>0</v>
      </c>
    </row>
    <row r="14" ht="26.25" customHeight="1">
      <c r="B14" s="162" t="n"/>
      <c r="C14" s="219" t="n"/>
      <c r="D14" s="3" t="n">
        <v>0</v>
      </c>
      <c r="E14" s="11" t="n"/>
      <c r="F14" s="5" t="n"/>
      <c r="G14" s="6" t="inlineStr">
        <is>
          <t>Saha İşçisi</t>
        </is>
      </c>
      <c r="H14" s="7" t="n">
        <v>0</v>
      </c>
      <c r="I14" s="12" t="n"/>
      <c r="J14" s="5">
        <f>H14</f>
        <v/>
      </c>
      <c r="K14" s="162" t="inlineStr">
        <is>
          <t>Vinç</t>
        </is>
      </c>
      <c r="L14" s="219" t="n"/>
      <c r="M14" s="9" t="n"/>
      <c r="N14" s="9" t="n"/>
      <c r="O14" s="10" t="n">
        <v>0</v>
      </c>
    </row>
    <row r="15" ht="26.25" customHeight="1">
      <c r="B15" s="162" t="n"/>
      <c r="C15" s="219" t="n"/>
      <c r="D15" s="3" t="n">
        <v>0</v>
      </c>
      <c r="E15" s="11" t="n"/>
      <c r="F15" s="5" t="n"/>
      <c r="G15" s="6" t="inlineStr">
        <is>
          <t>Topoğraf</t>
        </is>
      </c>
      <c r="H15" s="7" t="n">
        <v>0</v>
      </c>
      <c r="I15" s="12" t="n"/>
      <c r="J15" s="5">
        <f>H15</f>
        <v/>
      </c>
      <c r="K15" s="162" t="inlineStr">
        <is>
          <t>Silindir</t>
        </is>
      </c>
      <c r="L15" s="219" t="n"/>
      <c r="M15" s="9" t="n"/>
      <c r="N15" s="9" t="n"/>
      <c r="O15" s="10" t="n">
        <v>0</v>
      </c>
    </row>
    <row r="16" ht="26.25" customHeight="1">
      <c r="B16" s="162" t="n"/>
      <c r="C16" s="219" t="n"/>
      <c r="D16" s="3" t="n"/>
      <c r="E16" s="11" t="n"/>
      <c r="F16" s="5" t="n"/>
      <c r="G16" s="6" t="n"/>
      <c r="H16" s="7" t="n"/>
      <c r="I16" s="12" t="n"/>
      <c r="J16" s="13" t="n"/>
      <c r="K16" s="162" t="n"/>
      <c r="L16" s="219" t="n"/>
      <c r="M16" s="9" t="n"/>
      <c r="N16" s="9" t="n"/>
      <c r="O16" s="10" t="n"/>
    </row>
    <row r="17" ht="26.25" customHeight="1">
      <c r="B17" s="243" t="n"/>
      <c r="C17" s="219" t="n"/>
      <c r="D17" s="14" t="n"/>
      <c r="E17" s="11" t="n"/>
      <c r="F17" s="5" t="n"/>
      <c r="G17" s="6" t="n"/>
      <c r="H17" s="15" t="n"/>
      <c r="I17" s="12" t="n"/>
      <c r="J17" s="13" t="n"/>
      <c r="K17" s="244" t="inlineStr">
        <is>
          <t xml:space="preserve"> Toplam</t>
        </is>
      </c>
      <c r="L17" s="218" t="n"/>
      <c r="M17" s="218" t="n"/>
      <c r="N17" s="219" t="n"/>
      <c r="O17" s="16">
        <f>SUM(O8:O16)</f>
        <v/>
      </c>
    </row>
    <row r="18" ht="26.25" customHeight="1">
      <c r="B18" s="243" t="n"/>
      <c r="C18" s="219" t="n"/>
      <c r="D18" s="14" t="n"/>
      <c r="E18" s="11" t="n"/>
      <c r="F18" s="5" t="n"/>
      <c r="G18" s="6" t="n"/>
      <c r="H18" s="15" t="n"/>
      <c r="I18" s="12" t="n"/>
      <c r="J18" s="13" t="n"/>
      <c r="K18" s="245" t="inlineStr">
        <is>
          <t>GÜNLÜK GELEN MALZEME LİSTESİ</t>
        </is>
      </c>
      <c r="L18" s="218" t="n"/>
      <c r="M18" s="218" t="n"/>
      <c r="N18" s="218" t="n"/>
      <c r="O18" s="220" t="n"/>
    </row>
    <row r="19" ht="26.25" customHeight="1">
      <c r="A19" s="1" t="inlineStr">
        <is>
          <t xml:space="preserve"> </t>
        </is>
      </c>
      <c r="B19" s="243" t="n"/>
      <c r="C19" s="219" t="n"/>
      <c r="D19" s="3" t="n"/>
      <c r="E19" s="17" t="n"/>
      <c r="F19" s="5" t="n"/>
      <c r="G19" s="6" t="n"/>
      <c r="H19" s="15" t="n"/>
      <c r="I19" s="18" t="n"/>
      <c r="J19" s="13" t="n"/>
      <c r="K19" s="246" t="n"/>
      <c r="L19" s="218" t="n"/>
      <c r="M19" s="219" t="n"/>
      <c r="N19" s="16" t="n"/>
      <c r="O19" s="220" t="n"/>
    </row>
    <row r="20" ht="26.25" customHeight="1">
      <c r="B20" s="243" t="n"/>
      <c r="C20" s="219" t="n"/>
      <c r="D20" s="3" t="n"/>
      <c r="E20" s="17" t="n"/>
      <c r="F20" s="5" t="n"/>
      <c r="G20" s="6" t="n"/>
      <c r="H20" s="15" t="n"/>
      <c r="I20" s="18" t="n"/>
      <c r="J20" s="13" t="n"/>
      <c r="K20" s="246" t="n"/>
      <c r="L20" s="218" t="n"/>
      <c r="M20" s="219" t="n"/>
      <c r="N20" s="16" t="n"/>
      <c r="O20" s="220" t="n"/>
    </row>
    <row r="21" ht="26.25" customHeight="1">
      <c r="B21" s="21" t="n"/>
      <c r="C21" s="219" t="n"/>
      <c r="D21" s="19" t="n"/>
      <c r="E21" s="20" t="n"/>
      <c r="F21" s="5" t="n"/>
      <c r="G21" s="21" t="n"/>
      <c r="H21" s="22" t="n"/>
      <c r="I21" s="23" t="n"/>
      <c r="J21" s="13" t="n"/>
      <c r="K21" s="246" t="n"/>
      <c r="L21" s="218" t="n"/>
      <c r="M21" s="219" t="n"/>
      <c r="N21" s="247" t="n"/>
      <c r="O21" s="220" t="n"/>
    </row>
    <row r="22" ht="27" customHeight="1">
      <c r="B22" s="27" t="inlineStr">
        <is>
          <t>Toplam</t>
        </is>
      </c>
      <c r="C22" s="219" t="n"/>
      <c r="D22" s="24">
        <f>SUM(D8:D21)</f>
        <v/>
      </c>
      <c r="E22" s="25" t="inlineStr">
        <is>
          <t>G. Toplam</t>
        </is>
      </c>
      <c r="F22" s="58">
        <f>SUM(F8:F21)</f>
        <v/>
      </c>
      <c r="G22" s="27" t="inlineStr">
        <is>
          <t>Toplam</t>
        </is>
      </c>
      <c r="H22" s="28">
        <f>SUM(H8:H21)</f>
        <v/>
      </c>
      <c r="I22" s="29" t="inlineStr">
        <is>
          <t>G. Toplam</t>
        </is>
      </c>
      <c r="J22" s="26">
        <f>SUM(J8:J21)</f>
        <v/>
      </c>
      <c r="K22" s="246" t="n"/>
      <c r="L22" s="218" t="n"/>
      <c r="M22" s="219" t="n"/>
      <c r="N22" s="247" t="n"/>
      <c r="O22" s="220" t="n"/>
    </row>
    <row r="23" ht="27" customHeight="1" thickBot="1">
      <c r="B23" s="143" t="inlineStr">
        <is>
          <t>GENEL TOPLAM</t>
        </is>
      </c>
      <c r="C23" s="222" t="n"/>
      <c r="D23" s="222" t="n"/>
      <c r="E23" s="222" t="n"/>
      <c r="F23" s="222" t="n"/>
      <c r="G23" s="222" t="n"/>
      <c r="H23" s="222" t="n"/>
      <c r="I23" s="222" t="n"/>
      <c r="J23" s="30">
        <f>F22+J22</f>
        <v/>
      </c>
      <c r="K23" s="246" t="n"/>
      <c r="L23" s="218" t="n"/>
      <c r="M23" s="219" t="n"/>
      <c r="N23" s="247" t="n"/>
      <c r="O23" s="220" t="n"/>
    </row>
    <row r="24" ht="12.6" customHeight="1">
      <c r="B24" s="248" t="inlineStr">
        <is>
          <t>ALTYÜKLENİCİ EKİPLERİ PUANTAJI</t>
        </is>
      </c>
      <c r="C24" s="228" t="n"/>
      <c r="D24" s="228" t="n"/>
      <c r="E24" s="228" t="n"/>
      <c r="F24" s="228" t="n"/>
      <c r="G24" s="228" t="n"/>
      <c r="H24" s="228" t="n"/>
      <c r="I24" s="228" t="n"/>
      <c r="J24" s="228" t="n"/>
      <c r="K24" s="228" t="n"/>
      <c r="L24" s="228" t="n"/>
      <c r="M24" s="228" t="n"/>
      <c r="N24" s="228" t="n"/>
      <c r="O24" s="249" t="n"/>
    </row>
    <row r="25" ht="8.4" customHeight="1">
      <c r="B25" s="239" t="n"/>
      <c r="C25" s="250" t="n"/>
      <c r="D25" s="250" t="n"/>
      <c r="E25" s="250" t="n"/>
      <c r="F25" s="250" t="n"/>
      <c r="G25" s="250" t="n"/>
      <c r="H25" s="250" t="n"/>
      <c r="I25" s="250" t="n"/>
      <c r="J25" s="250" t="n"/>
      <c r="K25" s="250" t="n"/>
      <c r="L25" s="250" t="n"/>
      <c r="M25" s="250" t="n"/>
      <c r="N25" s="250" t="n"/>
      <c r="O25" s="251" t="n"/>
    </row>
    <row r="26" ht="22.5" customHeight="1">
      <c r="B26" s="127" t="inlineStr">
        <is>
          <t>KABA İNŞAAT EKİBİ</t>
        </is>
      </c>
      <c r="C26" s="218" t="n"/>
      <c r="D26" s="218" t="n"/>
      <c r="E26" s="219" t="n"/>
      <c r="F26" s="129" t="inlineStr">
        <is>
          <t>EKİP</t>
        </is>
      </c>
      <c r="G26" s="218" t="n"/>
      <c r="H26" s="218" t="n"/>
      <c r="I26" s="219" t="n"/>
      <c r="J26" s="133" t="inlineStr">
        <is>
          <t>HAFRİYAT EKİBİ</t>
        </is>
      </c>
      <c r="K26" s="218" t="n"/>
      <c r="L26" s="219" t="n"/>
      <c r="M26" s="134" t="inlineStr">
        <is>
          <t>İZOLASYON EKİBİ</t>
        </is>
      </c>
      <c r="N26" s="218" t="n"/>
      <c r="O26" s="219" t="n"/>
    </row>
    <row r="27" ht="26.25" customHeight="1">
      <c r="B27" s="127" t="inlineStr">
        <is>
          <t>PERSONEL</t>
        </is>
      </c>
      <c r="C27" s="219" t="n"/>
      <c r="D27" s="34" t="inlineStr">
        <is>
          <t>PUANTAJ</t>
        </is>
      </c>
      <c r="E27" s="128" t="inlineStr">
        <is>
          <t>KÜMÜLATİF PUANTAJ</t>
        </is>
      </c>
      <c r="F27" s="129" t="inlineStr">
        <is>
          <t>PERSONEL</t>
        </is>
      </c>
      <c r="G27" s="219" t="n"/>
      <c r="H27" s="35" t="inlineStr">
        <is>
          <t>PUANTAJ</t>
        </is>
      </c>
      <c r="I27" s="129" t="inlineStr">
        <is>
          <t>KÜMÜLATİF PUANTAJ</t>
        </is>
      </c>
      <c r="J27" s="133" t="inlineStr">
        <is>
          <t>PERSONEL</t>
        </is>
      </c>
      <c r="K27" s="34" t="inlineStr">
        <is>
          <t>PUANTAJ</t>
        </is>
      </c>
      <c r="L27" s="128" t="inlineStr">
        <is>
          <t>KÜMÜLATİF PUANTAJ</t>
        </is>
      </c>
      <c r="M27" s="36" t="inlineStr">
        <is>
          <t>PERSONEL</t>
        </is>
      </c>
      <c r="N27" s="35" t="inlineStr">
        <is>
          <t>PUANTAJ</t>
        </is>
      </c>
      <c r="O27" s="37" t="inlineStr">
        <is>
          <t>KÜMÜLATİF PUANTAJ</t>
        </is>
      </c>
    </row>
    <row r="28" ht="21" customFormat="1" customHeight="1" s="38">
      <c r="B28" s="107" t="inlineStr">
        <is>
          <t>Saha Mühendisi</t>
        </is>
      </c>
      <c r="C28" s="219" t="n"/>
      <c r="D28" s="39" t="n">
        <v>0</v>
      </c>
      <c r="E28" s="40">
        <f>D28</f>
        <v/>
      </c>
      <c r="F28" s="109" t="inlineStr">
        <is>
          <t>Saha Mühendisi</t>
        </is>
      </c>
      <c r="G28" s="219" t="n"/>
      <c r="H28" s="15" t="n">
        <v>0</v>
      </c>
      <c r="I28" s="41">
        <f>H28</f>
        <v/>
      </c>
      <c r="J28" s="42" t="inlineStr">
        <is>
          <t>Saha Mühendisi</t>
        </is>
      </c>
      <c r="K28" s="39" t="n">
        <v>0</v>
      </c>
      <c r="L28" s="40">
        <f>K28</f>
        <v/>
      </c>
      <c r="M28" s="43" t="inlineStr">
        <is>
          <t>Saha Mühendisi</t>
        </is>
      </c>
      <c r="N28" s="15" t="n">
        <v>0</v>
      </c>
      <c r="O28" s="10">
        <f>N28</f>
        <v/>
      </c>
    </row>
    <row r="29" ht="21" customFormat="1" customHeight="1" s="38">
      <c r="B29" s="107" t="inlineStr">
        <is>
          <t>Kalfa (Formen)</t>
        </is>
      </c>
      <c r="C29" s="219" t="n"/>
      <c r="D29" s="39" t="n">
        <v>1</v>
      </c>
      <c r="E29" s="40">
        <f>D29</f>
        <v/>
      </c>
      <c r="F29" s="109" t="inlineStr">
        <is>
          <t>Kalfa</t>
        </is>
      </c>
      <c r="G29" s="219" t="n"/>
      <c r="H29" s="15" t="n">
        <v>0</v>
      </c>
      <c r="I29" s="41">
        <f>H29</f>
        <v/>
      </c>
      <c r="J29" s="42" t="inlineStr">
        <is>
          <t>Kalfa</t>
        </is>
      </c>
      <c r="K29" s="39" t="n">
        <v>1</v>
      </c>
      <c r="L29" s="40">
        <f>K29</f>
        <v/>
      </c>
      <c r="M29" s="43" t="inlineStr">
        <is>
          <t>Kalfa</t>
        </is>
      </c>
      <c r="N29" s="15" t="n">
        <v>0</v>
      </c>
      <c r="O29" s="10">
        <f>N29</f>
        <v/>
      </c>
    </row>
    <row r="30" ht="21" customFormat="1" customHeight="1" s="38">
      <c r="B30" s="107" t="inlineStr">
        <is>
          <t>Usta ( Kalıpçı)</t>
        </is>
      </c>
      <c r="C30" s="219" t="n"/>
      <c r="D30" s="39" t="n">
        <v>5</v>
      </c>
      <c r="E30" s="40">
        <f>D30</f>
        <v/>
      </c>
      <c r="F30" s="109" t="inlineStr">
        <is>
          <t>Usta</t>
        </is>
      </c>
      <c r="G30" s="219" t="n"/>
      <c r="H30" s="15" t="n">
        <v>0</v>
      </c>
      <c r="I30" s="41">
        <f>H30</f>
        <v/>
      </c>
      <c r="J30" s="42" t="inlineStr">
        <is>
          <t>Topograf</t>
        </is>
      </c>
      <c r="K30" s="39" t="n">
        <v>0</v>
      </c>
      <c r="L30" s="40">
        <f>K30</f>
        <v/>
      </c>
      <c r="M30" s="43" t="inlineStr">
        <is>
          <t xml:space="preserve">Usta </t>
        </is>
      </c>
      <c r="N30" s="15" t="n">
        <v>0</v>
      </c>
      <c r="O30" s="10">
        <f>N30</f>
        <v/>
      </c>
    </row>
    <row r="31" ht="21" customFormat="1" customHeight="1" s="38">
      <c r="B31" s="107" t="inlineStr">
        <is>
          <t>Usta ( Demirci)</t>
        </is>
      </c>
      <c r="C31" s="219" t="n"/>
      <c r="D31" s="39" t="n">
        <v>5</v>
      </c>
      <c r="E31" s="40">
        <f>D31</f>
        <v/>
      </c>
      <c r="F31" s="109" t="inlineStr">
        <is>
          <t>Beden İşçisi</t>
        </is>
      </c>
      <c r="G31" s="219" t="n"/>
      <c r="H31" s="15" t="n">
        <v>0</v>
      </c>
      <c r="I31" s="41">
        <f>H31</f>
        <v/>
      </c>
      <c r="J31" s="42" t="inlineStr">
        <is>
          <t>Beden İşçisi</t>
        </is>
      </c>
      <c r="K31" s="39" t="n">
        <v>4</v>
      </c>
      <c r="L31" s="40">
        <f>K31</f>
        <v/>
      </c>
      <c r="M31" s="43" t="inlineStr">
        <is>
          <t>Beden İşçisi</t>
        </is>
      </c>
      <c r="N31" s="15" t="n">
        <v>0</v>
      </c>
      <c r="O31" s="10">
        <f>N31</f>
        <v/>
      </c>
    </row>
    <row r="32" ht="21" customFormat="1" customHeight="1" s="38">
      <c r="B32" s="107" t="inlineStr">
        <is>
          <t>Beden İşçisi</t>
        </is>
      </c>
      <c r="C32" s="219" t="n"/>
      <c r="D32" s="39" t="n">
        <v>3</v>
      </c>
      <c r="E32" s="40">
        <f>D32</f>
        <v/>
      </c>
      <c r="F32" s="109" t="inlineStr">
        <is>
          <t>İş. Mak. Opr.</t>
        </is>
      </c>
      <c r="G32" s="219" t="n"/>
      <c r="H32" s="15" t="n">
        <v>0</v>
      </c>
      <c r="I32" s="41">
        <f>H32</f>
        <v/>
      </c>
      <c r="J32" s="42" t="inlineStr">
        <is>
          <t>İş. Mak. Opr. (Eks.)</t>
        </is>
      </c>
      <c r="K32" s="39" t="n">
        <v>0</v>
      </c>
      <c r="L32" s="40">
        <f>K32</f>
        <v/>
      </c>
      <c r="M32" s="43" t="n"/>
      <c r="N32" s="15" t="n"/>
      <c r="O32" s="10" t="n"/>
    </row>
    <row r="33" ht="21" customFormat="1" customHeight="1" s="38">
      <c r="B33" s="107" t="inlineStr">
        <is>
          <t>İş. Mak. Opr.</t>
        </is>
      </c>
      <c r="C33" s="219" t="n"/>
      <c r="D33" s="39" t="n">
        <v>0</v>
      </c>
      <c r="E33" s="40">
        <f>D33</f>
        <v/>
      </c>
      <c r="F33" s="109" t="inlineStr">
        <is>
          <t>Test Ekibi</t>
        </is>
      </c>
      <c r="G33" s="219" t="n"/>
      <c r="H33" s="15" t="n">
        <v>0</v>
      </c>
      <c r="I33" s="41">
        <f>H33</f>
        <v/>
      </c>
      <c r="J33" s="42" t="inlineStr">
        <is>
          <t>Şoför (Kamyon)</t>
        </is>
      </c>
      <c r="K33" s="39" t="n">
        <v>0</v>
      </c>
      <c r="L33" s="40">
        <f>K33</f>
        <v/>
      </c>
      <c r="M33" s="43" t="n"/>
      <c r="N33" s="15" t="n"/>
      <c r="O33" s="10" t="n"/>
    </row>
    <row r="34" ht="21" customHeight="1">
      <c r="B34" s="130" t="inlineStr">
        <is>
          <t>TOPLAMLAR</t>
        </is>
      </c>
      <c r="C34" s="219" t="n"/>
      <c r="D34" s="34">
        <f>SUM(D28:D33)</f>
        <v/>
      </c>
      <c r="E34" s="34">
        <f>SUM(E28:E33)</f>
        <v/>
      </c>
      <c r="F34" s="132" t="inlineStr">
        <is>
          <t>TOPLAMLAR</t>
        </is>
      </c>
      <c r="G34" s="219" t="n"/>
      <c r="H34" s="35">
        <f>SUM(H28:H33)</f>
        <v/>
      </c>
      <c r="I34" s="35">
        <f>SUM(I28:I33)</f>
        <v/>
      </c>
      <c r="J34" s="133" t="inlineStr">
        <is>
          <t>TOPLAMLAR</t>
        </is>
      </c>
      <c r="K34" s="34">
        <f>SUM(K28:K33)</f>
        <v/>
      </c>
      <c r="L34" s="34">
        <f>SUM(L28:L33)</f>
        <v/>
      </c>
      <c r="M34" s="36" t="inlineStr">
        <is>
          <t>TOPLAMLAR</t>
        </is>
      </c>
      <c r="N34" s="35">
        <f>SUM(N28:N33)</f>
        <v/>
      </c>
      <c r="O34" s="44">
        <f>SUM(O28:O33)</f>
        <v/>
      </c>
    </row>
    <row r="35" ht="10.95" customHeight="1">
      <c r="B35" s="252" t="n"/>
      <c r="C35" s="218" t="n"/>
      <c r="D35" s="218" t="n"/>
      <c r="E35" s="218" t="n"/>
      <c r="F35" s="218" t="n"/>
      <c r="G35" s="218" t="n"/>
      <c r="H35" s="218" t="n"/>
      <c r="I35" s="218" t="n"/>
      <c r="J35" s="218" t="n"/>
      <c r="K35" s="218" t="n"/>
      <c r="L35" s="218" t="n"/>
      <c r="M35" s="218" t="n"/>
      <c r="N35" s="218" t="n"/>
      <c r="O35" s="220" t="n"/>
    </row>
    <row r="36" ht="26.25" customHeight="1">
      <c r="B36" s="127" t="inlineStr">
        <is>
          <t>EKİP</t>
        </is>
      </c>
      <c r="C36" s="218" t="n"/>
      <c r="D36" s="218" t="n"/>
      <c r="E36" s="219" t="n"/>
      <c r="F36" s="129" t="inlineStr">
        <is>
          <t xml:space="preserve">CEPHE- ÇATI EKİBİ </t>
        </is>
      </c>
      <c r="G36" s="218" t="n"/>
      <c r="H36" s="218" t="n"/>
      <c r="I36" s="219" t="n"/>
      <c r="J36" s="133" t="inlineStr">
        <is>
          <t xml:space="preserve">MEKANİK EKİBİ </t>
        </is>
      </c>
      <c r="K36" s="218" t="n"/>
      <c r="L36" s="219" t="n"/>
      <c r="M36" s="134" t="inlineStr">
        <is>
          <t xml:space="preserve">ELEKTRİK EKİBİ </t>
        </is>
      </c>
      <c r="N36" s="218" t="n"/>
      <c r="O36" s="219" t="n"/>
    </row>
    <row r="37" ht="26.25" customHeight="1">
      <c r="B37" s="127" t="inlineStr">
        <is>
          <t>PERSONEL</t>
        </is>
      </c>
      <c r="C37" s="219" t="n"/>
      <c r="D37" s="34" t="inlineStr">
        <is>
          <t>PUANTAJ</t>
        </is>
      </c>
      <c r="E37" s="128" t="inlineStr">
        <is>
          <t>KÜMÜLATİF PUANTAJ</t>
        </is>
      </c>
      <c r="F37" s="129" t="inlineStr">
        <is>
          <t>PERSONEL</t>
        </is>
      </c>
      <c r="G37" s="219" t="n"/>
      <c r="H37" s="35" t="inlineStr">
        <is>
          <t>PUANTAJ</t>
        </is>
      </c>
      <c r="I37" s="129" t="inlineStr">
        <is>
          <t>KÜMÜLATİF PUANTAJ</t>
        </is>
      </c>
      <c r="J37" s="133" t="inlineStr">
        <is>
          <t>PERSONEL</t>
        </is>
      </c>
      <c r="K37" s="34" t="inlineStr">
        <is>
          <t>PUANTAJ</t>
        </is>
      </c>
      <c r="L37" s="128" t="inlineStr">
        <is>
          <t>KÜMÜLATİF PUANTAJ</t>
        </is>
      </c>
      <c r="M37" s="36" t="inlineStr">
        <is>
          <t>PERSONEL</t>
        </is>
      </c>
      <c r="N37" s="35" t="inlineStr">
        <is>
          <t>PUANTAJ</t>
        </is>
      </c>
      <c r="O37" s="37" t="inlineStr">
        <is>
          <t>KÜMÜLATİF PUANTAJ</t>
        </is>
      </c>
    </row>
    <row r="38" ht="21" customHeight="1">
      <c r="B38" s="107" t="inlineStr">
        <is>
          <t>Saha Mühendisi</t>
        </is>
      </c>
      <c r="C38" s="219" t="n"/>
      <c r="D38" s="39" t="n">
        <v>0</v>
      </c>
      <c r="E38" s="39">
        <f>D38</f>
        <v/>
      </c>
      <c r="F38" s="109" t="inlineStr">
        <is>
          <t>Saha Mühendisi</t>
        </is>
      </c>
      <c r="G38" s="219" t="n"/>
      <c r="H38" s="15" t="n">
        <v>0</v>
      </c>
      <c r="I38" s="15">
        <f>H38</f>
        <v/>
      </c>
      <c r="J38" s="42" t="inlineStr">
        <is>
          <t>Saha Mühendisi</t>
        </is>
      </c>
      <c r="K38" s="39" t="n">
        <v>0</v>
      </c>
      <c r="L38" s="39">
        <f>K38</f>
        <v/>
      </c>
      <c r="M38" s="43" t="inlineStr">
        <is>
          <t>Saha Mühendisi</t>
        </is>
      </c>
      <c r="N38" s="15" t="n">
        <v>0</v>
      </c>
      <c r="O38" s="10">
        <f>N38</f>
        <v/>
      </c>
    </row>
    <row r="39" ht="21" customHeight="1">
      <c r="B39" s="107" t="inlineStr">
        <is>
          <t>Kalfa</t>
        </is>
      </c>
      <c r="C39" s="219" t="n"/>
      <c r="D39" s="39" t="n">
        <v>0</v>
      </c>
      <c r="E39" s="39">
        <f>D39</f>
        <v/>
      </c>
      <c r="F39" s="109" t="inlineStr">
        <is>
          <t>Kalfa</t>
        </is>
      </c>
      <c r="G39" s="219" t="n"/>
      <c r="H39" s="15" t="n">
        <v>0</v>
      </c>
      <c r="I39" s="15">
        <f>H39</f>
        <v/>
      </c>
      <c r="J39" s="42" t="inlineStr">
        <is>
          <t>Kalfa</t>
        </is>
      </c>
      <c r="K39" s="39" t="n">
        <v>0</v>
      </c>
      <c r="L39" s="39">
        <f>K39</f>
        <v/>
      </c>
      <c r="M39" s="43" t="inlineStr">
        <is>
          <t>Kalfa</t>
        </is>
      </c>
      <c r="N39" s="15" t="n">
        <v>0</v>
      </c>
      <c r="O39" s="10">
        <f>N39</f>
        <v/>
      </c>
    </row>
    <row r="40" ht="21" customHeight="1">
      <c r="B40" s="107" t="inlineStr">
        <is>
          <t xml:space="preserve">Usta </t>
        </is>
      </c>
      <c r="C40" s="219" t="n"/>
      <c r="D40" s="39" t="n">
        <v>0</v>
      </c>
      <c r="E40" s="39">
        <f>D40</f>
        <v/>
      </c>
      <c r="F40" s="109" t="inlineStr">
        <is>
          <t xml:space="preserve">Usta </t>
        </is>
      </c>
      <c r="G40" s="219" t="n"/>
      <c r="H40" s="15" t="n">
        <v>0</v>
      </c>
      <c r="I40" s="15">
        <f>H40</f>
        <v/>
      </c>
      <c r="J40" s="42" t="inlineStr">
        <is>
          <t xml:space="preserve">Usta </t>
        </is>
      </c>
      <c r="K40" s="39" t="n">
        <v>0</v>
      </c>
      <c r="L40" s="39">
        <f>K40</f>
        <v/>
      </c>
      <c r="M40" s="43" t="inlineStr">
        <is>
          <t xml:space="preserve">Usta </t>
        </is>
      </c>
      <c r="N40" s="15" t="n">
        <v>0</v>
      </c>
      <c r="O40" s="10">
        <f>N40</f>
        <v/>
      </c>
    </row>
    <row r="41" ht="21" customHeight="1">
      <c r="B41" s="107" t="inlineStr">
        <is>
          <t>Beden İşçisi</t>
        </is>
      </c>
      <c r="C41" s="219" t="n"/>
      <c r="D41" s="39" t="n">
        <v>0</v>
      </c>
      <c r="E41" s="39">
        <f>D41</f>
        <v/>
      </c>
      <c r="F41" s="109" t="inlineStr">
        <is>
          <t>Beden İşçisi</t>
        </is>
      </c>
      <c r="G41" s="219" t="n"/>
      <c r="H41" s="15" t="n">
        <v>0</v>
      </c>
      <c r="I41" s="15">
        <f>H41</f>
        <v/>
      </c>
      <c r="J41" s="42" t="inlineStr">
        <is>
          <t>Beden İşçisi</t>
        </is>
      </c>
      <c r="K41" s="39" t="n">
        <v>0</v>
      </c>
      <c r="L41" s="39">
        <f>K41</f>
        <v/>
      </c>
      <c r="M41" s="43" t="inlineStr">
        <is>
          <t>Beden İşçisi</t>
        </is>
      </c>
      <c r="N41" s="15" t="n">
        <v>0</v>
      </c>
      <c r="O41" s="10">
        <f>N41</f>
        <v/>
      </c>
    </row>
    <row r="42" ht="21" customHeight="1">
      <c r="B42" s="107" t="inlineStr">
        <is>
          <t>İş. Mak. Opr.</t>
        </is>
      </c>
      <c r="C42" s="219" t="n"/>
      <c r="D42" s="39" t="n">
        <v>0</v>
      </c>
      <c r="E42" s="39">
        <f>D42</f>
        <v/>
      </c>
      <c r="F42" s="109" t="inlineStr">
        <is>
          <t>İş. Mak. Opr.</t>
        </is>
      </c>
      <c r="G42" s="219" t="n"/>
      <c r="H42" s="15" t="n">
        <v>0</v>
      </c>
      <c r="I42" s="15">
        <f>H42</f>
        <v/>
      </c>
      <c r="J42" s="42" t="inlineStr">
        <is>
          <t>İş. Mak. Opr.</t>
        </is>
      </c>
      <c r="K42" s="39" t="n">
        <v>0</v>
      </c>
      <c r="L42" s="39">
        <f>K42</f>
        <v/>
      </c>
      <c r="M42" s="43" t="inlineStr">
        <is>
          <t>İş. Mak. Opr.</t>
        </is>
      </c>
      <c r="N42" s="15" t="n">
        <v>0</v>
      </c>
      <c r="O42" s="10">
        <f>N42</f>
        <v/>
      </c>
    </row>
    <row r="43" ht="21" customFormat="1" customHeight="1" s="45">
      <c r="B43" s="130" t="inlineStr">
        <is>
          <t>TOPLAMLAR</t>
        </is>
      </c>
      <c r="C43" s="219" t="n"/>
      <c r="D43" s="34">
        <f>SUM(D37:D42)</f>
        <v/>
      </c>
      <c r="E43" s="34">
        <f>SUM(E38:E42)</f>
        <v/>
      </c>
      <c r="F43" s="132" t="inlineStr">
        <is>
          <t>TOPLAMLAR</t>
        </is>
      </c>
      <c r="G43" s="219" t="n"/>
      <c r="H43" s="35">
        <f>SUM(H37:H42)</f>
        <v/>
      </c>
      <c r="I43" s="35">
        <f>SUM(I38:I42)</f>
        <v/>
      </c>
      <c r="J43" s="133" t="inlineStr">
        <is>
          <t>TOPLAMLAR</t>
        </is>
      </c>
      <c r="K43" s="34">
        <f>SUM(K37:K42)</f>
        <v/>
      </c>
      <c r="L43" s="34">
        <f>SUM(L38:L42)</f>
        <v/>
      </c>
      <c r="M43" s="36" t="inlineStr">
        <is>
          <t>TOPLAMLAR</t>
        </is>
      </c>
      <c r="N43" s="35">
        <f>SUM(N37:N42)</f>
        <v/>
      </c>
      <c r="O43" s="44">
        <f>SUM(O38:O42)</f>
        <v/>
      </c>
    </row>
    <row r="44" ht="10.95" customHeight="1">
      <c r="B44" s="252" t="n"/>
      <c r="C44" s="218" t="n"/>
      <c r="D44" s="218" t="n"/>
      <c r="E44" s="218" t="n"/>
      <c r="F44" s="218" t="n"/>
      <c r="G44" s="218" t="n"/>
      <c r="H44" s="218" t="n"/>
      <c r="I44" s="218" t="n"/>
      <c r="J44" s="218" t="n"/>
      <c r="K44" s="218" t="n"/>
      <c r="L44" s="218" t="n"/>
      <c r="M44" s="218" t="n"/>
      <c r="N44" s="218" t="n"/>
      <c r="O44" s="220" t="n"/>
    </row>
    <row r="45" ht="26.25" customHeight="1">
      <c r="B45" s="127" t="inlineStr">
        <is>
          <t>EKİP</t>
        </is>
      </c>
      <c r="C45" s="218" t="n"/>
      <c r="D45" s="218" t="n"/>
      <c r="E45" s="219" t="n"/>
      <c r="F45" s="129" t="inlineStr">
        <is>
          <t>EKİP</t>
        </is>
      </c>
      <c r="G45" s="218" t="n"/>
      <c r="H45" s="218" t="n"/>
      <c r="I45" s="219" t="n"/>
      <c r="J45" s="133" t="inlineStr">
        <is>
          <t>EKİP</t>
        </is>
      </c>
      <c r="K45" s="218" t="n"/>
      <c r="L45" s="219" t="n"/>
      <c r="M45" s="133" t="inlineStr">
        <is>
          <t>EKİP</t>
        </is>
      </c>
      <c r="N45" s="218" t="n"/>
      <c r="O45" s="219" t="n"/>
    </row>
    <row r="46" ht="26.25" customHeight="1">
      <c r="B46" s="127" t="inlineStr">
        <is>
          <t>PERSONEL</t>
        </is>
      </c>
      <c r="C46" s="219" t="n"/>
      <c r="D46" s="34" t="inlineStr">
        <is>
          <t>PUANTAJ</t>
        </is>
      </c>
      <c r="E46" s="128" t="inlineStr">
        <is>
          <t>KÜMÜLATİF PUANTAJ</t>
        </is>
      </c>
      <c r="F46" s="129" t="inlineStr">
        <is>
          <t>PERSONEL</t>
        </is>
      </c>
      <c r="G46" s="219" t="n"/>
      <c r="H46" s="35" t="inlineStr">
        <is>
          <t>PUANTAJ</t>
        </is>
      </c>
      <c r="I46" s="129" t="inlineStr">
        <is>
          <t>KÜMÜLATİF PUANTAJ</t>
        </is>
      </c>
      <c r="J46" s="133" t="inlineStr">
        <is>
          <t>PERSONEL</t>
        </is>
      </c>
      <c r="K46" s="34" t="inlineStr">
        <is>
          <t>PUANTAJ</t>
        </is>
      </c>
      <c r="L46" s="128" t="inlineStr">
        <is>
          <t>KÜMÜLATİF PUANTAJ</t>
        </is>
      </c>
      <c r="M46" s="36" t="inlineStr">
        <is>
          <t>PERSONEL</t>
        </is>
      </c>
      <c r="N46" s="35" t="inlineStr">
        <is>
          <t>PUANTAJ</t>
        </is>
      </c>
      <c r="O46" s="37" t="inlineStr">
        <is>
          <t>KÜMÜLATİF PUANTAJ</t>
        </is>
      </c>
    </row>
    <row r="47" ht="22.2" customHeight="1">
      <c r="B47" s="107" t="inlineStr">
        <is>
          <t>Saha Mühendisi</t>
        </is>
      </c>
      <c r="C47" s="219" t="n"/>
      <c r="D47" s="39" t="n">
        <v>0</v>
      </c>
      <c r="E47" s="39">
        <f>D47</f>
        <v/>
      </c>
      <c r="F47" s="109" t="inlineStr">
        <is>
          <t>Saha Mühendisi</t>
        </is>
      </c>
      <c r="G47" s="219" t="n"/>
      <c r="H47" s="15" t="n">
        <v>0</v>
      </c>
      <c r="I47" s="15">
        <f>H47</f>
        <v/>
      </c>
      <c r="J47" s="42" t="inlineStr">
        <is>
          <t>Saha Mühendisi</t>
        </is>
      </c>
      <c r="K47" s="39" t="n">
        <v>0</v>
      </c>
      <c r="L47" s="39">
        <f>K47</f>
        <v/>
      </c>
      <c r="M47" s="43" t="inlineStr">
        <is>
          <t>Saha Mühendisi</t>
        </is>
      </c>
      <c r="N47" s="15" t="n">
        <v>0</v>
      </c>
      <c r="O47" s="10">
        <f>N47</f>
        <v/>
      </c>
    </row>
    <row r="48" ht="22.2" customHeight="1">
      <c r="B48" s="107" t="inlineStr">
        <is>
          <t>Kalfa</t>
        </is>
      </c>
      <c r="C48" s="219" t="n"/>
      <c r="D48" s="39" t="n">
        <v>0</v>
      </c>
      <c r="E48" s="39">
        <f>D48</f>
        <v/>
      </c>
      <c r="F48" s="109" t="inlineStr">
        <is>
          <t>Kalfa</t>
        </is>
      </c>
      <c r="G48" s="219" t="n"/>
      <c r="H48" s="15" t="n">
        <v>0</v>
      </c>
      <c r="I48" s="15">
        <f>H48</f>
        <v/>
      </c>
      <c r="J48" s="42" t="inlineStr">
        <is>
          <t>Kalfa</t>
        </is>
      </c>
      <c r="K48" s="39" t="n">
        <v>0</v>
      </c>
      <c r="L48" s="39">
        <f>K48</f>
        <v/>
      </c>
      <c r="M48" s="43" t="inlineStr">
        <is>
          <t>Kalfa</t>
        </is>
      </c>
      <c r="N48" s="15" t="n">
        <v>0</v>
      </c>
      <c r="O48" s="10">
        <f>N48</f>
        <v/>
      </c>
    </row>
    <row r="49" ht="22.2" customHeight="1">
      <c r="B49" s="107" t="inlineStr">
        <is>
          <t xml:space="preserve">Usta </t>
        </is>
      </c>
      <c r="C49" s="219" t="n"/>
      <c r="D49" s="39" t="n">
        <v>0</v>
      </c>
      <c r="E49" s="39">
        <f>D49</f>
        <v/>
      </c>
      <c r="F49" s="109" t="inlineStr">
        <is>
          <t xml:space="preserve">Usta </t>
        </is>
      </c>
      <c r="G49" s="219" t="n"/>
      <c r="H49" s="15" t="n">
        <v>0</v>
      </c>
      <c r="I49" s="15">
        <f>H49</f>
        <v/>
      </c>
      <c r="J49" s="42" t="inlineStr">
        <is>
          <t xml:space="preserve">Usta </t>
        </is>
      </c>
      <c r="K49" s="39" t="n">
        <v>0</v>
      </c>
      <c r="L49" s="39">
        <f>K49</f>
        <v/>
      </c>
      <c r="M49" s="43" t="inlineStr">
        <is>
          <t xml:space="preserve">Usta </t>
        </is>
      </c>
      <c r="N49" s="15" t="n">
        <v>0</v>
      </c>
      <c r="O49" s="10">
        <f>N49</f>
        <v/>
      </c>
    </row>
    <row r="50" ht="22.2" customHeight="1">
      <c r="B50" s="107" t="inlineStr">
        <is>
          <t>Beden İşçisi</t>
        </is>
      </c>
      <c r="C50" s="219" t="n"/>
      <c r="D50" s="39" t="n">
        <v>0</v>
      </c>
      <c r="E50" s="39">
        <f>D50</f>
        <v/>
      </c>
      <c r="F50" s="109" t="inlineStr">
        <is>
          <t>Beden İşçisi</t>
        </is>
      </c>
      <c r="G50" s="219" t="n"/>
      <c r="H50" s="15" t="n">
        <v>0</v>
      </c>
      <c r="I50" s="15">
        <f>H50</f>
        <v/>
      </c>
      <c r="J50" s="42" t="inlineStr">
        <is>
          <t>Beden İşçisi</t>
        </is>
      </c>
      <c r="K50" s="39" t="n">
        <v>0</v>
      </c>
      <c r="L50" s="39">
        <f>K50</f>
        <v/>
      </c>
      <c r="M50" s="43" t="inlineStr">
        <is>
          <t>Beden İşçisi</t>
        </is>
      </c>
      <c r="N50" s="15" t="n">
        <v>0</v>
      </c>
      <c r="O50" s="10">
        <f>N50</f>
        <v/>
      </c>
    </row>
    <row r="51" ht="22.2" customHeight="1">
      <c r="B51" s="107" t="inlineStr">
        <is>
          <t>İş. Mak. Opr.</t>
        </is>
      </c>
      <c r="C51" s="219" t="n"/>
      <c r="D51" s="39" t="n">
        <v>0</v>
      </c>
      <c r="E51" s="39">
        <f>D51</f>
        <v/>
      </c>
      <c r="F51" s="109" t="inlineStr">
        <is>
          <t>İş. Mak. Opr.</t>
        </is>
      </c>
      <c r="G51" s="219" t="n"/>
      <c r="H51" s="15" t="n">
        <v>0</v>
      </c>
      <c r="I51" s="15">
        <f>H51</f>
        <v/>
      </c>
      <c r="J51" s="42" t="inlineStr">
        <is>
          <t>İş. Mak. Opr.</t>
        </is>
      </c>
      <c r="K51" s="39" t="n">
        <v>0</v>
      </c>
      <c r="L51" s="39">
        <f>K51</f>
        <v/>
      </c>
      <c r="M51" s="43" t="inlineStr">
        <is>
          <t>İş. Mak. Opr.</t>
        </is>
      </c>
      <c r="N51" s="15" t="n">
        <v>0</v>
      </c>
      <c r="O51" s="10">
        <f>N51</f>
        <v/>
      </c>
    </row>
    <row r="52" ht="22.2" customFormat="1" customHeight="1" s="45">
      <c r="B52" s="130" t="inlineStr">
        <is>
          <t>TOPLAMLAR</t>
        </is>
      </c>
      <c r="C52" s="219" t="n"/>
      <c r="D52" s="34">
        <f>SUM(D46:D51)</f>
        <v/>
      </c>
      <c r="E52" s="34">
        <f>SUM(E47:E51)</f>
        <v/>
      </c>
      <c r="F52" s="132" t="inlineStr">
        <is>
          <t>TOPLAMLAR</t>
        </is>
      </c>
      <c r="G52" s="219" t="n"/>
      <c r="H52" s="35">
        <f>SUM(H46:H51)</f>
        <v/>
      </c>
      <c r="I52" s="35">
        <f>SUM(I47:I51)</f>
        <v/>
      </c>
      <c r="J52" s="133" t="inlineStr">
        <is>
          <t>TOPLAMLAR</t>
        </is>
      </c>
      <c r="K52" s="34">
        <f>SUM(K46:K51)</f>
        <v/>
      </c>
      <c r="L52" s="34">
        <f>SUM(L47:L51)</f>
        <v/>
      </c>
      <c r="M52" s="36" t="inlineStr">
        <is>
          <t>TOPLAMLAR</t>
        </is>
      </c>
      <c r="N52" s="35">
        <f>SUM(N46:N51)</f>
        <v/>
      </c>
      <c r="O52" s="44">
        <f>SUM(O47:O51)</f>
        <v/>
      </c>
    </row>
    <row r="53" ht="10.95" customHeight="1">
      <c r="B53" s="252" t="n"/>
      <c r="C53" s="218" t="n"/>
      <c r="D53" s="218" t="n"/>
      <c r="E53" s="218" t="n"/>
      <c r="F53" s="218" t="n"/>
      <c r="G53" s="218" t="n"/>
      <c r="H53" s="218" t="n"/>
      <c r="I53" s="218" t="n"/>
      <c r="J53" s="218" t="n"/>
      <c r="K53" s="218" t="n"/>
      <c r="L53" s="218" t="n"/>
      <c r="M53" s="218" t="n"/>
      <c r="N53" s="218" t="n"/>
      <c r="O53" s="220" t="n"/>
    </row>
    <row r="54" ht="27" customFormat="1" customHeight="1" s="46">
      <c r="B54" s="253" t="inlineStr">
        <is>
          <t>GÜNLÜK TOPLAM</t>
        </is>
      </c>
      <c r="C54" s="218" t="n"/>
      <c r="D54" s="218" t="n"/>
      <c r="E54" s="218" t="n"/>
      <c r="F54" s="218" t="n"/>
      <c r="G54" s="218" t="n"/>
      <c r="H54" s="218" t="n"/>
      <c r="I54" s="218" t="n"/>
      <c r="J54" s="218" t="n"/>
      <c r="K54" s="218" t="n"/>
      <c r="L54" s="218" t="n"/>
      <c r="M54" s="219" t="n"/>
      <c r="N54" s="254">
        <f>D34+H34+K34+N34+D43+H43+K43+N43+D52+H52+K52+N52</f>
        <v/>
      </c>
      <c r="O54" s="220" t="n"/>
    </row>
    <row r="55" ht="27" customFormat="1" customHeight="1" s="46" thickBot="1">
      <c r="B55" s="255" t="inlineStr">
        <is>
          <t>KÜMÜLATİF TOPLAM</t>
        </is>
      </c>
      <c r="C55" s="222" t="n"/>
      <c r="D55" s="222" t="n"/>
      <c r="E55" s="222" t="n"/>
      <c r="F55" s="222" t="n"/>
      <c r="G55" s="222" t="n"/>
      <c r="H55" s="222" t="n"/>
      <c r="I55" s="222" t="n"/>
      <c r="J55" s="222" t="n"/>
      <c r="K55" s="222" t="n"/>
      <c r="L55" s="222" t="n"/>
      <c r="M55" s="223" t="n"/>
      <c r="N55" s="256">
        <f>E34+I34+L34+O34+E43+I43+L43+O43+E52+I52+L52+O52</f>
        <v/>
      </c>
      <c r="O55" s="226" t="n"/>
    </row>
    <row r="56" ht="87" customHeight="1" thickBot="1">
      <c r="B56" s="213" t="n"/>
      <c r="C56" s="214" t="n"/>
      <c r="D56" s="214" t="n"/>
      <c r="E56" s="215" t="n"/>
      <c r="F56" s="97" t="inlineStr">
        <is>
          <t>GÜNLÜK FAALİYET RAPORU
0XXXX-XXX-SGM-XXX-XXX-DPR-IPY-100001</t>
        </is>
      </c>
      <c r="G56" s="214" t="n"/>
      <c r="H56" s="214" t="n"/>
      <c r="I56" s="214" t="n"/>
      <c r="J56" s="214" t="n"/>
      <c r="K56" s="215" t="n"/>
      <c r="L56" s="99" t="inlineStr">
        <is>
          <t>LOGO</t>
        </is>
      </c>
      <c r="M56" s="214" t="n"/>
      <c r="N56" s="214" t="n"/>
      <c r="O56" s="216" t="n"/>
    </row>
    <row r="57" ht="21" customHeight="1" thickBot="1">
      <c r="B57" s="257" t="inlineStr">
        <is>
          <t>YAPILAN İŞLER</t>
        </is>
      </c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8" t="n"/>
      <c r="M57" s="258" t="n"/>
      <c r="N57" s="258" t="n"/>
      <c r="O57" s="259" t="n"/>
    </row>
    <row r="58" ht="40.2" customFormat="1" customHeight="1" s="45">
      <c r="B58" s="47" t="inlineStr">
        <is>
          <t>NO</t>
        </is>
      </c>
      <c r="C58" s="260" t="inlineStr">
        <is>
          <t>AÇIKLAMA</t>
        </is>
      </c>
      <c r="D58" s="214" t="n"/>
      <c r="E58" s="214" t="n"/>
      <c r="F58" s="214" t="n"/>
      <c r="G58" s="214" t="n"/>
      <c r="H58" s="214" t="n"/>
      <c r="I58" s="215" t="n"/>
      <c r="J58" s="48" t="inlineStr">
        <is>
          <t>İLGİLİ FİRMA/ÇALIŞAN SAYISI</t>
        </is>
      </c>
      <c r="K58" s="261" t="inlineStr">
        <is>
          <t>İLAVE NOTLAR</t>
        </is>
      </c>
      <c r="L58" s="214" t="n"/>
      <c r="M58" s="214" t="n"/>
      <c r="N58" s="214" t="n"/>
      <c r="O58" s="216" t="n"/>
    </row>
    <row r="59" hidden="1" ht="19.95" customFormat="1" customHeight="1" s="45">
      <c r="B59" s="49" t="n"/>
      <c r="C59" s="262" t="inlineStr">
        <is>
          <t>Ruhsat Alım İşleri</t>
        </is>
      </c>
      <c r="D59" s="218" t="n"/>
      <c r="E59" s="218" t="n"/>
      <c r="F59" s="218" t="n"/>
      <c r="G59" s="218" t="n"/>
      <c r="H59" s="218" t="n"/>
      <c r="I59" s="219" t="n"/>
      <c r="J59" s="50" t="n"/>
      <c r="K59" s="263" t="n"/>
      <c r="L59" s="218" t="n"/>
      <c r="M59" s="218" t="n"/>
      <c r="N59" s="218" t="n"/>
      <c r="O59" s="220" t="n"/>
    </row>
    <row r="60" hidden="1" ht="49.95" customFormat="1" customHeight="1" s="45">
      <c r="B60" s="51" t="n">
        <v>1</v>
      </c>
      <c r="C60" s="264" t="inlineStr">
        <is>
          <t>Yapım ruhsatı yazılmış olup, yapı denetim ve Akyurt Belediyesinde tüm imzalar tamamlanmıştır. SGK Müdürlüğüne gidilerek İşyeri açılışı için başvuru yapılmış ve İşyeri açılışı yapılmıştır.</t>
        </is>
      </c>
      <c r="D60" s="218" t="n"/>
      <c r="E60" s="218" t="n"/>
      <c r="F60" s="218" t="n"/>
      <c r="G60" s="218" t="n"/>
      <c r="H60" s="218" t="n"/>
      <c r="I60" s="219" t="n"/>
      <c r="J60" s="52" t="n"/>
      <c r="K60" s="265" t="inlineStr">
        <is>
          <t>SGK İşyeri Sicil Numarası : 4.4120.0101.1457705.006.27.57.000.040</t>
        </is>
      </c>
      <c r="L60" s="218" t="n"/>
      <c r="M60" s="218" t="n"/>
      <c r="N60" s="218" t="n"/>
      <c r="O60" s="220" t="n"/>
    </row>
    <row r="61" hidden="1" ht="19.95" customFormat="1" customHeight="1" s="45">
      <c r="B61" s="49" t="n"/>
      <c r="C61" s="262" t="inlineStr">
        <is>
          <t>Mobilizasyon İşleri</t>
        </is>
      </c>
      <c r="D61" s="218" t="n"/>
      <c r="E61" s="218" t="n"/>
      <c r="F61" s="218" t="n"/>
      <c r="G61" s="218" t="n"/>
      <c r="H61" s="218" t="n"/>
      <c r="I61" s="219" t="n"/>
      <c r="J61" s="50" t="n"/>
      <c r="K61" s="263" t="n"/>
      <c r="L61" s="218" t="n"/>
      <c r="M61" s="218" t="n"/>
      <c r="N61" s="218" t="n"/>
      <c r="O61" s="220" t="n"/>
    </row>
    <row r="62" hidden="1" ht="30" customFormat="1" customHeight="1" s="45">
      <c r="B62" s="51" t="n">
        <v>1</v>
      </c>
      <c r="C62" s="264" t="inlineStr"/>
      <c r="D62" s="218" t="n"/>
      <c r="E62" s="218" t="n"/>
      <c r="F62" s="218" t="n"/>
      <c r="G62" s="218" t="n"/>
      <c r="H62" s="218" t="n"/>
      <c r="I62" s="219" t="n"/>
      <c r="J62" s="52" t="inlineStr"/>
      <c r="K62" s="265" t="inlineStr">
        <is>
          <t>İSG önlemleri kapsamında çalışmalar yapıldı.</t>
        </is>
      </c>
      <c r="L62" s="218" t="n"/>
      <c r="M62" s="218" t="n"/>
      <c r="N62" s="218" t="n"/>
      <c r="O62" s="220" t="n"/>
    </row>
    <row r="63" ht="19.95" customFormat="1" customHeight="1" s="45">
      <c r="B63" s="49" t="n"/>
      <c r="C63" s="262" t="inlineStr">
        <is>
          <t>Kazı İşleri</t>
        </is>
      </c>
      <c r="D63" s="218" t="n"/>
      <c r="E63" s="218" t="n"/>
      <c r="F63" s="218" t="n"/>
      <c r="G63" s="218" t="n"/>
      <c r="H63" s="218" t="n"/>
      <c r="I63" s="219" t="n"/>
      <c r="J63" s="50" t="n"/>
      <c r="K63" s="263" t="n"/>
      <c r="L63" s="218" t="n"/>
      <c r="M63" s="218" t="n"/>
      <c r="N63" s="218" t="n"/>
      <c r="O63" s="220" t="n"/>
    </row>
    <row r="64" ht="34.5" customFormat="1" customHeight="1" s="45">
      <c r="B64" s="51" t="n">
        <v>1</v>
      </c>
      <c r="C64" s="266" t="inlineStr">
        <is>
          <t>Temel kazisi</t>
        </is>
      </c>
      <c r="D64" s="218" t="n"/>
      <c r="E64" s="218" t="n"/>
      <c r="F64" s="218" t="n"/>
      <c r="G64" s="218" t="n"/>
      <c r="H64" s="218" t="n"/>
      <c r="I64" s="219" t="n"/>
      <c r="J64" s="52" t="inlineStr">
        <is>
          <t>5</t>
        </is>
      </c>
      <c r="K64" s="267" t="n"/>
      <c r="L64" s="218" t="n"/>
      <c r="M64" s="218" t="n"/>
      <c r="N64" s="218" t="n"/>
      <c r="O64" s="220" t="n"/>
    </row>
    <row r="65" ht="34.5" customFormat="1" customHeight="1" s="45">
      <c r="B65" s="51" t="n">
        <v>2</v>
      </c>
      <c r="C65" s="266" t="inlineStr"/>
      <c r="D65" s="218" t="n"/>
      <c r="E65" s="218" t="n"/>
      <c r="F65" s="218" t="n"/>
      <c r="G65" s="218" t="n"/>
      <c r="H65" s="218" t="n"/>
      <c r="I65" s="219" t="n"/>
      <c r="J65" s="52" t="inlineStr"/>
      <c r="K65" s="267" t="n"/>
      <c r="L65" s="218" t="n"/>
      <c r="M65" s="218" t="n"/>
      <c r="N65" s="218" t="n"/>
      <c r="O65" s="220" t="n"/>
    </row>
    <row r="66" ht="35.4" customFormat="1" customHeight="1" s="45">
      <c r="B66" s="51" t="n">
        <v>3</v>
      </c>
      <c r="C66" s="264" t="inlineStr"/>
      <c r="D66" s="218" t="n"/>
      <c r="E66" s="218" t="n"/>
      <c r="F66" s="218" t="n"/>
      <c r="G66" s="218" t="n"/>
      <c r="H66" s="218" t="n"/>
      <c r="I66" s="219" t="n"/>
      <c r="J66" s="52" t="inlineStr"/>
      <c r="K66" s="265" t="n"/>
      <c r="L66" s="218" t="n"/>
      <c r="M66" s="218" t="n"/>
      <c r="N66" s="218" t="n"/>
      <c r="O66" s="220" t="n"/>
    </row>
    <row r="67" ht="19.95" customFormat="1" customHeight="1" s="45">
      <c r="B67" s="49" t="n"/>
      <c r="C67" s="262" t="inlineStr">
        <is>
          <t>Betonarme Kaba Yapı İşleri</t>
        </is>
      </c>
      <c r="D67" s="218" t="n"/>
      <c r="E67" s="218" t="n"/>
      <c r="F67" s="218" t="n"/>
      <c r="G67" s="218" t="n"/>
      <c r="H67" s="218" t="n"/>
      <c r="I67" s="219" t="n"/>
      <c r="J67" s="50" t="n"/>
      <c r="K67" s="263" t="n"/>
      <c r="L67" s="218" t="n"/>
      <c r="M67" s="218" t="n"/>
      <c r="N67" s="218" t="n"/>
      <c r="O67" s="220" t="n"/>
    </row>
    <row r="68" ht="34.5" customFormat="1" customHeight="1" s="45">
      <c r="B68" s="51" t="n">
        <v>1</v>
      </c>
      <c r="C68" s="266" t="inlineStr">
        <is>
          <t>Grobeton dökümü</t>
        </is>
      </c>
      <c r="D68" s="218" t="n"/>
      <c r="E68" s="218" t="n"/>
      <c r="F68" s="218" t="n"/>
      <c r="G68" s="218" t="n"/>
      <c r="H68" s="218" t="n"/>
      <c r="I68" s="219" t="n"/>
      <c r="J68" s="52" t="inlineStr">
        <is>
          <t>9</t>
        </is>
      </c>
      <c r="K68" s="65" t="n"/>
      <c r="L68" s="66" t="n"/>
      <c r="M68" s="66" t="n"/>
      <c r="N68" s="66" t="n"/>
      <c r="O68" s="67" t="n"/>
    </row>
    <row r="69" ht="34.5" customFormat="1" customHeight="1" s="45">
      <c r="B69" s="51" t="n">
        <v>2</v>
      </c>
      <c r="C69" s="266" t="inlineStr"/>
      <c r="D69" s="218" t="n"/>
      <c r="E69" s="218" t="n"/>
      <c r="F69" s="218" t="n"/>
      <c r="G69" s="218" t="n"/>
      <c r="H69" s="218" t="n"/>
      <c r="I69" s="219" t="n"/>
      <c r="J69" s="52" t="inlineStr"/>
      <c r="K69" s="267" t="n"/>
      <c r="L69" s="218" t="n"/>
      <c r="M69" s="218" t="n"/>
      <c r="N69" s="218" t="n"/>
      <c r="O69" s="220" t="n"/>
    </row>
    <row r="70" ht="34.5" customFormat="1" customHeight="1" s="45">
      <c r="B70" s="51" t="n">
        <v>3</v>
      </c>
      <c r="C70" s="264" t="inlineStr"/>
      <c r="D70" s="218" t="n"/>
      <c r="E70" s="218" t="n"/>
      <c r="F70" s="218" t="n"/>
      <c r="G70" s="218" t="n"/>
      <c r="H70" s="218" t="n"/>
      <c r="I70" s="219" t="n"/>
      <c r="J70" s="52" t="inlineStr"/>
      <c r="K70" s="268" t="n"/>
      <c r="L70" s="218" t="n"/>
      <c r="M70" s="218" t="n"/>
      <c r="N70" s="218" t="n"/>
      <c r="O70" s="220" t="n"/>
    </row>
    <row r="71" ht="19.95" customFormat="1" customHeight="1" s="45">
      <c r="B71" s="49" t="n"/>
      <c r="C71" s="262" t="inlineStr">
        <is>
          <t>İnce Yapı İşleri</t>
        </is>
      </c>
      <c r="D71" s="218" t="n"/>
      <c r="E71" s="218" t="n"/>
      <c r="F71" s="218" t="n"/>
      <c r="G71" s="218" t="n"/>
      <c r="H71" s="218" t="n"/>
      <c r="I71" s="219" t="n"/>
      <c r="J71" s="50" t="n"/>
      <c r="K71" s="263" t="n"/>
      <c r="L71" s="218" t="n"/>
      <c r="M71" s="218" t="n"/>
      <c r="N71" s="218" t="n"/>
      <c r="O71" s="220" t="n"/>
    </row>
    <row r="72" ht="35.4" customFormat="1" customHeight="1" s="45">
      <c r="B72" s="51" t="n">
        <v>1</v>
      </c>
      <c r="C72" s="264" t="inlineStr"/>
      <c r="D72" s="218" t="n"/>
      <c r="E72" s="218" t="n"/>
      <c r="F72" s="218" t="n"/>
      <c r="G72" s="218" t="n"/>
      <c r="H72" s="218" t="n"/>
      <c r="I72" s="219" t="n"/>
      <c r="J72" s="52" t="inlineStr"/>
      <c r="K72" s="268" t="n"/>
      <c r="L72" s="218" t="n"/>
      <c r="M72" s="218" t="n"/>
      <c r="N72" s="218" t="n"/>
      <c r="O72" s="220" t="n"/>
    </row>
    <row r="73" ht="35.4" customFormat="1" customHeight="1" s="45">
      <c r="B73" s="51" t="n">
        <v>2</v>
      </c>
      <c r="C73" s="264" t="inlineStr"/>
      <c r="D73" s="218" t="n"/>
      <c r="E73" s="218" t="n"/>
      <c r="F73" s="218" t="n"/>
      <c r="G73" s="218" t="n"/>
      <c r="H73" s="218" t="n"/>
      <c r="I73" s="219" t="n"/>
      <c r="J73" s="52" t="inlineStr"/>
      <c r="K73" s="268" t="n"/>
      <c r="L73" s="218" t="n"/>
      <c r="M73" s="218" t="n"/>
      <c r="N73" s="218" t="n"/>
      <c r="O73" s="220" t="n"/>
    </row>
    <row r="74" ht="35.4" customFormat="1" customHeight="1" s="45">
      <c r="B74" s="51" t="n">
        <v>3</v>
      </c>
      <c r="C74" s="264" t="n"/>
      <c r="D74" s="218" t="n"/>
      <c r="E74" s="218" t="n"/>
      <c r="F74" s="218" t="n"/>
      <c r="G74" s="218" t="n"/>
      <c r="H74" s="218" t="n"/>
      <c r="I74" s="219" t="n"/>
      <c r="J74" s="52" t="n"/>
      <c r="K74" s="268" t="n"/>
      <c r="L74" s="218" t="n"/>
      <c r="M74" s="218" t="n"/>
      <c r="N74" s="218" t="n"/>
      <c r="O74" s="220" t="n"/>
    </row>
    <row r="75" ht="19.95" customFormat="1" customHeight="1" s="45">
      <c r="B75" s="49" t="n"/>
      <c r="C75" s="262" t="inlineStr">
        <is>
          <t>Altyapı İşleri</t>
        </is>
      </c>
      <c r="D75" s="218" t="n"/>
      <c r="E75" s="218" t="n"/>
      <c r="F75" s="218" t="n"/>
      <c r="G75" s="218" t="n"/>
      <c r="H75" s="218" t="n"/>
      <c r="I75" s="219" t="n"/>
      <c r="J75" s="50" t="n"/>
      <c r="K75" s="263" t="n"/>
      <c r="L75" s="218" t="n"/>
      <c r="M75" s="218" t="n"/>
      <c r="N75" s="218" t="n"/>
      <c r="O75" s="220" t="n"/>
    </row>
    <row r="76" ht="35.4" customFormat="1" customHeight="1" s="45">
      <c r="B76" s="51" t="n">
        <v>1</v>
      </c>
      <c r="C76" s="264" t="inlineStr"/>
      <c r="D76" s="218" t="n"/>
      <c r="E76" s="218" t="n"/>
      <c r="F76" s="218" t="n"/>
      <c r="G76" s="218" t="n"/>
      <c r="H76" s="218" t="n"/>
      <c r="I76" s="219" t="n"/>
      <c r="J76" s="52" t="inlineStr"/>
      <c r="K76" s="268" t="n"/>
      <c r="L76" s="218" t="n"/>
      <c r="M76" s="218" t="n"/>
      <c r="N76" s="218" t="n"/>
      <c r="O76" s="220" t="n"/>
    </row>
    <row r="77" ht="35.4" customFormat="1" customHeight="1" s="45">
      <c r="B77" s="51" t="n">
        <v>2</v>
      </c>
      <c r="C77" s="264" t="inlineStr"/>
      <c r="D77" s="218" t="n"/>
      <c r="E77" s="218" t="n"/>
      <c r="F77" s="218" t="n"/>
      <c r="G77" s="218" t="n"/>
      <c r="H77" s="218" t="n"/>
      <c r="I77" s="219" t="n"/>
      <c r="J77" s="52" t="inlineStr"/>
      <c r="K77" s="268" t="n"/>
      <c r="L77" s="218" t="n"/>
      <c r="M77" s="218" t="n"/>
      <c r="N77" s="218" t="n"/>
      <c r="O77" s="220" t="n"/>
    </row>
    <row r="78" ht="35.4" customFormat="1" customHeight="1" s="45">
      <c r="B78" s="51" t="n">
        <v>3</v>
      </c>
      <c r="C78" s="264" t="n"/>
      <c r="D78" s="218" t="n"/>
      <c r="E78" s="218" t="n"/>
      <c r="F78" s="218" t="n"/>
      <c r="G78" s="218" t="n"/>
      <c r="H78" s="218" t="n"/>
      <c r="I78" s="219" t="n"/>
      <c r="J78" s="52" t="n"/>
      <c r="K78" s="268" t="n"/>
      <c r="L78" s="218" t="n"/>
      <c r="M78" s="218" t="n"/>
      <c r="N78" s="218" t="n"/>
      <c r="O78" s="220" t="n"/>
    </row>
    <row r="79" ht="19.95" customFormat="1" customHeight="1" s="45">
      <c r="B79" s="49" t="n"/>
      <c r="C79" s="262" t="inlineStr">
        <is>
          <t>Mekanik İşleri</t>
        </is>
      </c>
      <c r="D79" s="218" t="n"/>
      <c r="E79" s="218" t="n"/>
      <c r="F79" s="218" t="n"/>
      <c r="G79" s="218" t="n"/>
      <c r="H79" s="218" t="n"/>
      <c r="I79" s="219" t="n"/>
      <c r="J79" s="50" t="n"/>
      <c r="K79" s="263" t="n"/>
      <c r="L79" s="218" t="n"/>
      <c r="M79" s="218" t="n"/>
      <c r="N79" s="218" t="n"/>
      <c r="O79" s="220" t="n"/>
    </row>
    <row r="80" ht="35.4" customFormat="1" customHeight="1" s="45">
      <c r="B80" s="51" t="n">
        <v>1</v>
      </c>
      <c r="C80" s="264" t="inlineStr"/>
      <c r="D80" s="218" t="n"/>
      <c r="E80" s="218" t="n"/>
      <c r="F80" s="218" t="n"/>
      <c r="G80" s="218" t="n"/>
      <c r="H80" s="218" t="n"/>
      <c r="I80" s="219" t="n"/>
      <c r="J80" s="52" t="inlineStr"/>
      <c r="K80" s="268" t="n"/>
      <c r="L80" s="218" t="n"/>
      <c r="M80" s="218" t="n"/>
      <c r="N80" s="218" t="n"/>
      <c r="O80" s="220" t="n"/>
    </row>
    <row r="81" ht="35.4" customFormat="1" customHeight="1" s="45">
      <c r="B81" s="51" t="n">
        <v>2</v>
      </c>
      <c r="C81" s="264" t="inlineStr"/>
      <c r="D81" s="218" t="n"/>
      <c r="E81" s="218" t="n"/>
      <c r="F81" s="218" t="n"/>
      <c r="G81" s="218" t="n"/>
      <c r="H81" s="218" t="n"/>
      <c r="I81" s="219" t="n"/>
      <c r="J81" s="52" t="inlineStr"/>
      <c r="K81" s="268" t="n"/>
      <c r="L81" s="218" t="n"/>
      <c r="M81" s="218" t="n"/>
      <c r="N81" s="218" t="n"/>
      <c r="O81" s="220" t="n"/>
    </row>
    <row r="82" ht="35.4" customFormat="1" customHeight="1" s="45">
      <c r="B82" s="51" t="n">
        <v>3</v>
      </c>
      <c r="C82" s="264" t="n"/>
      <c r="D82" s="218" t="n"/>
      <c r="E82" s="218" t="n"/>
      <c r="F82" s="218" t="n"/>
      <c r="G82" s="218" t="n"/>
      <c r="H82" s="218" t="n"/>
      <c r="I82" s="219" t="n"/>
      <c r="J82" s="52" t="n"/>
      <c r="K82" s="268" t="n"/>
      <c r="L82" s="218" t="n"/>
      <c r="M82" s="218" t="n"/>
      <c r="N82" s="218" t="n"/>
      <c r="O82" s="220" t="n"/>
    </row>
    <row r="83" ht="19.95" customFormat="1" customHeight="1" s="45">
      <c r="B83" s="49" t="n"/>
      <c r="C83" s="262" t="inlineStr">
        <is>
          <t>Elektrik İşleri</t>
        </is>
      </c>
      <c r="D83" s="218" t="n"/>
      <c r="E83" s="218" t="n"/>
      <c r="F83" s="218" t="n"/>
      <c r="G83" s="218" t="n"/>
      <c r="H83" s="218" t="n"/>
      <c r="I83" s="219" t="n"/>
      <c r="J83" s="50" t="n"/>
      <c r="K83" s="263" t="n"/>
      <c r="L83" s="218" t="n"/>
      <c r="M83" s="218" t="n"/>
      <c r="N83" s="218" t="n"/>
      <c r="O83" s="220" t="n"/>
    </row>
    <row r="84" ht="35.4" customFormat="1" customHeight="1" s="45">
      <c r="B84" s="51" t="n">
        <v>1</v>
      </c>
      <c r="C84" s="264" t="inlineStr"/>
      <c r="D84" s="218" t="n"/>
      <c r="E84" s="218" t="n"/>
      <c r="F84" s="218" t="n"/>
      <c r="G84" s="218" t="n"/>
      <c r="H84" s="218" t="n"/>
      <c r="I84" s="219" t="n"/>
      <c r="J84" s="52" t="inlineStr"/>
      <c r="K84" s="268" t="n"/>
      <c r="L84" s="218" t="n"/>
      <c r="M84" s="218" t="n"/>
      <c r="N84" s="218" t="n"/>
      <c r="O84" s="220" t="n"/>
    </row>
    <row r="85" ht="35.4" customFormat="1" customHeight="1" s="45">
      <c r="B85" s="51" t="n">
        <v>2</v>
      </c>
      <c r="C85" s="264" t="inlineStr"/>
      <c r="D85" s="218" t="n"/>
      <c r="E85" s="218" t="n"/>
      <c r="F85" s="218" t="n"/>
      <c r="G85" s="218" t="n"/>
      <c r="H85" s="218" t="n"/>
      <c r="I85" s="219" t="n"/>
      <c r="J85" s="52" t="inlineStr"/>
      <c r="K85" s="268" t="n"/>
      <c r="L85" s="218" t="n"/>
      <c r="M85" s="218" t="n"/>
      <c r="N85" s="218" t="n"/>
      <c r="O85" s="220" t="n"/>
    </row>
    <row r="86" ht="19.95" customFormat="1" customHeight="1" s="45">
      <c r="B86" s="49" t="n"/>
      <c r="C86" s="262" t="inlineStr">
        <is>
          <t>İSG</t>
        </is>
      </c>
      <c r="D86" s="218" t="n"/>
      <c r="E86" s="218" t="n"/>
      <c r="F86" s="218" t="n"/>
      <c r="G86" s="218" t="n"/>
      <c r="H86" s="218" t="n"/>
      <c r="I86" s="219" t="n"/>
      <c r="J86" s="50" t="n"/>
      <c r="K86" s="263" t="n"/>
      <c r="L86" s="218" t="n"/>
      <c r="M86" s="218" t="n"/>
      <c r="N86" s="218" t="n"/>
      <c r="O86" s="220" t="n"/>
    </row>
    <row r="87" ht="35.4" customFormat="1" customHeight="1" s="45">
      <c r="B87" s="51" t="n">
        <v>1</v>
      </c>
      <c r="C87" s="264" t="inlineStr"/>
      <c r="D87" s="218" t="n"/>
      <c r="E87" s="218" t="n"/>
      <c r="F87" s="218" t="n"/>
      <c r="G87" s="218" t="n"/>
      <c r="H87" s="218" t="n"/>
      <c r="I87" s="219" t="n"/>
      <c r="J87" s="52" t="inlineStr"/>
      <c r="K87" s="268" t="n"/>
      <c r="L87" s="218" t="n"/>
      <c r="M87" s="218" t="n"/>
      <c r="N87" s="218" t="n"/>
      <c r="O87" s="220" t="n"/>
    </row>
    <row r="88" ht="35.4" customFormat="1" customHeight="1" s="45">
      <c r="B88" s="51" t="n">
        <v>2</v>
      </c>
      <c r="C88" s="264" t="inlineStr"/>
      <c r="D88" s="218" t="n"/>
      <c r="E88" s="218" t="n"/>
      <c r="F88" s="218" t="n"/>
      <c r="G88" s="218" t="n"/>
      <c r="H88" s="218" t="n"/>
      <c r="I88" s="219" t="n"/>
      <c r="J88" s="52" t="inlineStr"/>
      <c r="K88" s="268" t="n"/>
      <c r="L88" s="218" t="n"/>
      <c r="M88" s="218" t="n"/>
      <c r="N88" s="218" t="n"/>
      <c r="O88" s="220" t="n"/>
    </row>
    <row r="89" ht="36" customFormat="1" customHeight="1" s="45">
      <c r="B89" s="51" t="n">
        <v>3</v>
      </c>
      <c r="C89" s="264" t="n"/>
      <c r="D89" s="218" t="n"/>
      <c r="E89" s="218" t="n"/>
      <c r="F89" s="218" t="n"/>
      <c r="G89" s="218" t="n"/>
      <c r="H89" s="218" t="n"/>
      <c r="I89" s="219" t="n"/>
      <c r="J89" s="52" t="n"/>
      <c r="K89" s="268" t="n"/>
      <c r="L89" s="218" t="n"/>
      <c r="M89" s="218" t="n"/>
      <c r="N89" s="218" t="n"/>
      <c r="O89" s="220" t="n"/>
    </row>
    <row r="90" ht="19.95" customFormat="1" customHeight="1" s="45">
      <c r="B90" s="49" t="n"/>
      <c r="C90" s="262" t="inlineStr">
        <is>
          <t>Teknik Ofis İşleri</t>
        </is>
      </c>
      <c r="D90" s="218" t="n"/>
      <c r="E90" s="218" t="n"/>
      <c r="F90" s="218" t="n"/>
      <c r="G90" s="218" t="n"/>
      <c r="H90" s="218" t="n"/>
      <c r="I90" s="219" t="n"/>
      <c r="J90" s="50" t="n"/>
      <c r="K90" s="263" t="n"/>
      <c r="L90" s="218" t="n"/>
      <c r="M90" s="218" t="n"/>
      <c r="N90" s="218" t="n"/>
      <c r="O90" s="220" t="n"/>
    </row>
    <row r="91" ht="35.25" customFormat="1" customHeight="1" s="45">
      <c r="B91" s="51" t="n">
        <v>1</v>
      </c>
      <c r="C91" s="264" t="n"/>
      <c r="D91" s="218" t="n"/>
      <c r="E91" s="218" t="n"/>
      <c r="F91" s="218" t="n"/>
      <c r="G91" s="218" t="n"/>
      <c r="H91" s="218" t="n"/>
      <c r="I91" s="219" t="n"/>
      <c r="J91" s="52" t="n"/>
      <c r="K91" s="268" t="n"/>
      <c r="L91" s="218" t="n"/>
      <c r="M91" s="218" t="n"/>
      <c r="N91" s="218" t="n"/>
      <c r="O91" s="220" t="n"/>
    </row>
    <row r="92" ht="35.25" customFormat="1" customHeight="1" s="45">
      <c r="B92" s="51" t="n">
        <v>2</v>
      </c>
      <c r="C92" s="264" t="n"/>
      <c r="D92" s="218" t="n"/>
      <c r="E92" s="218" t="n"/>
      <c r="F92" s="218" t="n"/>
      <c r="G92" s="218" t="n"/>
      <c r="H92" s="218" t="n"/>
      <c r="I92" s="219" t="n"/>
      <c r="J92" s="52" t="n"/>
      <c r="K92" s="267" t="n"/>
      <c r="L92" s="218" t="n"/>
      <c r="M92" s="218" t="n"/>
      <c r="N92" s="218" t="n"/>
      <c r="O92" s="220" t="n"/>
    </row>
    <row r="93" ht="35.25" customFormat="1" customHeight="1" s="45" thickBot="1">
      <c r="B93" s="51" t="n">
        <v>3</v>
      </c>
      <c r="C93" s="269" t="n"/>
      <c r="D93" s="218" t="n"/>
      <c r="E93" s="218" t="n"/>
      <c r="F93" s="218" t="n"/>
      <c r="G93" s="218" t="n"/>
      <c r="H93" s="218" t="n"/>
      <c r="I93" s="219" t="n"/>
      <c r="J93" s="52" t="n"/>
      <c r="K93" s="267" t="n"/>
      <c r="L93" s="218" t="n"/>
      <c r="M93" s="218" t="n"/>
      <c r="N93" s="218" t="n"/>
      <c r="O93" s="220" t="n"/>
    </row>
    <row r="94" ht="18.75" customHeight="1">
      <c r="B94" s="270" t="inlineStr">
        <is>
          <t>İMZA</t>
        </is>
      </c>
      <c r="C94" s="74" t="inlineStr">
        <is>
          <t>SİGMA MÜHENDİSLİK HİZMETLERİ DEKORASYON İNŞAAT LTD. ŞTİ.</t>
        </is>
      </c>
      <c r="D94" s="214" t="n"/>
      <c r="E94" s="214" t="n"/>
      <c r="F94" s="214" t="n"/>
      <c r="G94" s="214" t="n"/>
      <c r="H94" s="214" t="n"/>
      <c r="I94" s="215" t="n"/>
      <c r="J94" s="76" t="inlineStr">
        <is>
          <t>ANA YÜKLENİCİ</t>
        </is>
      </c>
      <c r="K94" s="214" t="n"/>
      <c r="L94" s="214" t="n"/>
      <c r="M94" s="214" t="n"/>
      <c r="N94" s="214" t="n"/>
      <c r="O94" s="216" t="n"/>
    </row>
    <row r="95" ht="18.75" customHeight="1">
      <c r="B95" s="271" t="n"/>
      <c r="C95" s="272" t="n"/>
      <c r="D95" s="218" t="n"/>
      <c r="E95" s="218" t="n"/>
      <c r="F95" s="218" t="n"/>
      <c r="G95" s="218" t="n"/>
      <c r="H95" s="218" t="n"/>
      <c r="I95" s="219" t="n"/>
      <c r="J95" s="56" t="n"/>
      <c r="K95" s="56" t="n"/>
      <c r="L95" s="56" t="n"/>
      <c r="M95" s="56" t="n"/>
      <c r="N95" s="56" t="n"/>
      <c r="O95" s="57" t="n"/>
    </row>
    <row r="96" ht="14.25" customHeight="1">
      <c r="B96" s="271" t="n"/>
      <c r="C96" s="80" t="n"/>
      <c r="D96" s="273" t="n"/>
      <c r="E96" s="273" t="n"/>
      <c r="F96" s="273" t="n"/>
      <c r="G96" s="273" t="n"/>
      <c r="H96" s="273" t="n"/>
      <c r="I96" s="274" t="n"/>
      <c r="J96" s="80" t="n"/>
      <c r="K96" s="273" t="n"/>
      <c r="L96" s="273" t="n"/>
      <c r="M96" s="273" t="n"/>
      <c r="N96" s="273" t="n"/>
      <c r="O96" s="274" t="n"/>
    </row>
    <row r="97" ht="14.25" customHeight="1">
      <c r="B97" s="271" t="n"/>
      <c r="C97" s="275" t="n"/>
      <c r="I97" s="276" t="n"/>
      <c r="J97" s="275" t="n"/>
      <c r="O97" s="276" t="n"/>
    </row>
    <row r="98" ht="14.25" customHeight="1" thickBot="1">
      <c r="B98" s="277" t="n"/>
      <c r="C98" s="278" t="n"/>
      <c r="D98" s="250" t="n"/>
      <c r="E98" s="250" t="n"/>
      <c r="F98" s="250" t="n"/>
      <c r="G98" s="250" t="n"/>
      <c r="H98" s="250" t="n"/>
      <c r="I98" s="240" t="n"/>
      <c r="J98" s="278" t="n"/>
      <c r="K98" s="250" t="n"/>
      <c r="L98" s="250" t="n"/>
      <c r="M98" s="250" t="n"/>
      <c r="N98" s="250" t="n"/>
      <c r="O98" s="240" t="n"/>
    </row>
    <row r="99" ht="10.8" customHeight="1" thickBot="1"/>
    <row r="100" ht="87" customHeight="1">
      <c r="B100" s="213" t="n"/>
      <c r="C100" s="214" t="n"/>
      <c r="D100" s="214" t="n"/>
      <c r="E100" s="215" t="n"/>
      <c r="F100" s="97" t="inlineStr">
        <is>
          <t>GÜNLÜK FAALİYET RAPORU
02780-BGC-SGM-XXX-XXX-DPR-IPY-100001</t>
        </is>
      </c>
      <c r="G100" s="214" t="n"/>
      <c r="H100" s="214" t="n"/>
      <c r="I100" s="214" t="n"/>
      <c r="J100" s="214" t="n"/>
      <c r="K100" s="215" t="n"/>
      <c r="L100" s="99" t="inlineStr">
        <is>
          <t>LOGO</t>
        </is>
      </c>
      <c r="M100" s="214" t="n"/>
      <c r="N100" s="214" t="n"/>
      <c r="O100" s="216" t="n"/>
      <c r="U100" s="2" t="n"/>
    </row>
    <row r="101" ht="37.5" customHeight="1">
      <c r="B101" s="217" t="inlineStr">
        <is>
          <t>İŞVEREN</t>
        </is>
      </c>
      <c r="C101" s="218" t="n"/>
      <c r="D101" s="218" t="n"/>
      <c r="E101" s="219" t="n"/>
      <c r="F101" s="198" t="inlineStr">
        <is>
          <t>ANA YÜKLENİCİ</t>
        </is>
      </c>
      <c r="G101" s="219" t="n"/>
      <c r="H101" s="199" t="n"/>
      <c r="I101" s="219" t="n"/>
      <c r="J101" s="200" t="inlineStr">
        <is>
          <t>TARİH</t>
        </is>
      </c>
      <c r="K101" s="218" t="n"/>
      <c r="L101" s="219" t="n"/>
      <c r="M101" s="203" t="inlineStr">
        <is>
          <t>XX.0X.2026</t>
        </is>
      </c>
      <c r="N101" s="218" t="n"/>
      <c r="O101" s="220" t="n"/>
    </row>
    <row r="102" ht="30.75" customHeight="1">
      <c r="B102" s="204" t="inlineStr">
        <is>
          <t>Halk Gayrimenkul Yatırım Ortaklığı A.Ş.</t>
        </is>
      </c>
      <c r="C102" s="218" t="n"/>
      <c r="D102" s="218" t="n"/>
      <c r="E102" s="219" t="n"/>
      <c r="F102" s="205" t="inlineStr">
        <is>
          <t>-</t>
        </is>
      </c>
      <c r="G102" s="219" t="n"/>
      <c r="H102" s="207" t="n"/>
      <c r="I102" s="219" t="n"/>
      <c r="J102" s="201" t="inlineStr">
        <is>
          <t>HAVA DURUMU</t>
        </is>
      </c>
      <c r="K102" s="218" t="n"/>
      <c r="L102" s="219" t="n"/>
      <c r="M102" s="221" t="inlineStr">
        <is>
          <t>Açık / 25°C</t>
        </is>
      </c>
      <c r="N102" s="218" t="n"/>
      <c r="O102" s="220" t="n"/>
    </row>
    <row r="103" ht="34.5" customHeight="1" thickBot="1">
      <c r="B103" s="170" t="inlineStr">
        <is>
          <t>HALK GYO ASM BAĞCILAR PROJESİ</t>
        </is>
      </c>
      <c r="C103" s="222" t="n"/>
      <c r="D103" s="222" t="n"/>
      <c r="E103" s="222" t="n"/>
      <c r="F103" s="222" t="n"/>
      <c r="G103" s="222" t="n"/>
      <c r="H103" s="222" t="n"/>
      <c r="I103" s="223" t="n"/>
      <c r="J103" s="224" t="inlineStr">
        <is>
          <t>İŞ BİTİM TARİHİ</t>
        </is>
      </c>
      <c r="K103" s="222" t="n"/>
      <c r="L103" s="223" t="n"/>
      <c r="M103" s="225" t="n"/>
      <c r="N103" s="222" t="n"/>
      <c r="O103" s="226" t="n"/>
    </row>
    <row r="104" ht="17.25" customHeight="1">
      <c r="B104" s="227" t="inlineStr">
        <is>
          <t>İŞVEREN / PROJE YÖNETİMİ</t>
        </is>
      </c>
      <c r="C104" s="228" t="n"/>
      <c r="D104" s="228" t="n"/>
      <c r="E104" s="229" t="n"/>
      <c r="F104" s="230" t="inlineStr">
        <is>
          <t>Kümülatif</t>
        </is>
      </c>
      <c r="G104" s="231" t="inlineStr">
        <is>
          <t>YÜKLENİCİ FİRMA
Teknik Kadro Dahil</t>
        </is>
      </c>
      <c r="H104" s="228" t="n"/>
      <c r="I104" s="228" t="n"/>
      <c r="J104" s="232" t="inlineStr">
        <is>
          <t>Kümülatif</t>
        </is>
      </c>
      <c r="K104" s="187" t="inlineStr">
        <is>
          <t>İŞ MAKİNALARI</t>
        </is>
      </c>
      <c r="L104" s="229" t="n"/>
      <c r="M104" s="191" t="inlineStr">
        <is>
          <t>Giriş Tarihi</t>
        </is>
      </c>
      <c r="N104" s="191" t="inlineStr">
        <is>
          <t>Çıkış Tarihi</t>
        </is>
      </c>
      <c r="O104" s="233" t="inlineStr">
        <is>
          <t>Puantaj (Saat)</t>
        </is>
      </c>
    </row>
    <row r="105" ht="17.25" customHeight="1" thickBot="1">
      <c r="B105" s="234" t="n"/>
      <c r="C105" s="235" t="n"/>
      <c r="D105" s="235" t="n"/>
      <c r="E105" s="236" t="n"/>
      <c r="F105" s="237" t="n"/>
      <c r="G105" s="234" t="n"/>
      <c r="H105" s="235" t="n"/>
      <c r="I105" s="235" t="n"/>
      <c r="J105" s="238" t="n"/>
      <c r="K105" s="239" t="n"/>
      <c r="L105" s="240" t="n"/>
      <c r="M105" s="241" t="n"/>
      <c r="N105" s="241" t="n"/>
      <c r="O105" s="237" t="n"/>
    </row>
    <row r="106" ht="22.5" customHeight="1">
      <c r="B106" s="242" t="inlineStr">
        <is>
          <t>Proje Müdürü Saha-PY</t>
        </is>
      </c>
      <c r="C106" s="240" t="n"/>
      <c r="D106" s="3" t="n">
        <v>0</v>
      </c>
      <c r="E106" s="4" t="n"/>
      <c r="F106" s="5">
        <f>D106</f>
        <v/>
      </c>
      <c r="G106" s="6" t="inlineStr">
        <is>
          <t>Şantiye Şefi-Mukas</t>
        </is>
      </c>
      <c r="H106" s="7" t="n">
        <v>0</v>
      </c>
      <c r="I106" s="8" t="n"/>
      <c r="J106" s="5">
        <f>H106</f>
        <v/>
      </c>
      <c r="K106" s="162" t="inlineStr">
        <is>
          <t>JCB</t>
        </is>
      </c>
      <c r="L106" s="219" t="n"/>
      <c r="M106" s="9" t="n"/>
      <c r="N106" s="9" t="n"/>
      <c r="O106" s="10" t="n">
        <v>0</v>
      </c>
    </row>
    <row r="107" ht="26.25" customHeight="1">
      <c r="B107" s="242" t="inlineStr">
        <is>
          <t>Proje Müdürü Merkez-PY</t>
        </is>
      </c>
      <c r="C107" s="240" t="n"/>
      <c r="D107" s="3" t="n">
        <v>0</v>
      </c>
      <c r="E107" s="11" t="n"/>
      <c r="F107" s="5">
        <f>D107</f>
        <v/>
      </c>
      <c r="G107" s="6" t="inlineStr">
        <is>
          <t>İnşaat Mühendisi</t>
        </is>
      </c>
      <c r="H107" s="7" t="n">
        <v>0</v>
      </c>
      <c r="I107" s="12" t="n"/>
      <c r="J107" s="5">
        <f>H107</f>
        <v/>
      </c>
      <c r="K107" s="162" t="inlineStr">
        <is>
          <t>Fore Kazık Makinası</t>
        </is>
      </c>
      <c r="L107" s="219" t="n"/>
      <c r="M107" s="9" t="n"/>
      <c r="N107" s="9" t="n"/>
      <c r="O107" s="10" t="n">
        <v>0</v>
      </c>
    </row>
    <row r="108" ht="24.75" customHeight="1">
      <c r="B108" s="6" t="inlineStr">
        <is>
          <t>Proje Koordinatörü-PY</t>
        </is>
      </c>
      <c r="C108" s="219" t="n"/>
      <c r="D108" s="3" t="n">
        <v>0</v>
      </c>
      <c r="E108" s="11" t="n"/>
      <c r="F108" s="5">
        <f>D108</f>
        <v/>
      </c>
      <c r="G108" s="6" t="inlineStr">
        <is>
          <t>Elektrik Mühendisi</t>
        </is>
      </c>
      <c r="H108" s="7" t="n">
        <v>0</v>
      </c>
      <c r="I108" s="12" t="n"/>
      <c r="J108" s="5">
        <f>H108</f>
        <v/>
      </c>
      <c r="K108" s="162" t="inlineStr">
        <is>
          <t>Beton Pompası</t>
        </is>
      </c>
      <c r="L108" s="219" t="n"/>
      <c r="M108" s="9" t="n"/>
      <c r="N108" s="9" t="n"/>
      <c r="O108" s="10" t="n">
        <v>0</v>
      </c>
    </row>
    <row r="109" ht="23.25" customHeight="1">
      <c r="B109" s="162" t="inlineStr">
        <is>
          <t>Proje Müdürü Mimar-PY</t>
        </is>
      </c>
      <c r="C109" s="219" t="n"/>
      <c r="D109" s="3" t="n">
        <v>0</v>
      </c>
      <c r="E109" s="11" t="n"/>
      <c r="F109" s="5">
        <f>D109</f>
        <v/>
      </c>
      <c r="G109" s="6" t="inlineStr">
        <is>
          <t>Makine Mühendisi</t>
        </is>
      </c>
      <c r="H109" s="7" t="n">
        <v>0</v>
      </c>
      <c r="I109" s="12" t="n"/>
      <c r="J109" s="5">
        <f>H109</f>
        <v/>
      </c>
      <c r="K109" s="162" t="inlineStr">
        <is>
          <t>Ekskavatör</t>
        </is>
      </c>
      <c r="L109" s="219" t="n"/>
      <c r="M109" s="9" t="n"/>
      <c r="N109" s="9" t="n"/>
      <c r="O109" s="10" t="n">
        <v>0</v>
      </c>
    </row>
    <row r="110" ht="26.25" customHeight="1">
      <c r="B110" s="162" t="inlineStr">
        <is>
          <t>Proje Elektrik Yüksek Mühendisi-PY</t>
        </is>
      </c>
      <c r="C110" s="219" t="n"/>
      <c r="D110" s="3" t="n">
        <v>0</v>
      </c>
      <c r="E110" s="11" t="n"/>
      <c r="F110" s="5">
        <f>D110</f>
        <v/>
      </c>
      <c r="G110" s="6" t="inlineStr">
        <is>
          <t>Formen</t>
        </is>
      </c>
      <c r="H110" s="7" t="n">
        <v>0</v>
      </c>
      <c r="I110" s="12" t="n"/>
      <c r="J110" s="5">
        <f>H110</f>
        <v/>
      </c>
      <c r="K110" s="162" t="inlineStr">
        <is>
          <t>Kamyon</t>
        </is>
      </c>
      <c r="L110" s="219" t="n"/>
      <c r="M110" s="9" t="n"/>
      <c r="N110" s="9" t="n"/>
      <c r="O110" s="10" t="n">
        <v>0</v>
      </c>
    </row>
    <row r="111" ht="26.25" customHeight="1">
      <c r="B111" s="162" t="inlineStr">
        <is>
          <t>Proje Müdürü Makine Mühendisi-PY</t>
        </is>
      </c>
      <c r="C111" s="219" t="n"/>
      <c r="D111" s="3" t="n">
        <v>0</v>
      </c>
      <c r="E111" s="11" t="n"/>
      <c r="F111" s="5">
        <f>D111</f>
        <v/>
      </c>
      <c r="G111" s="6" t="inlineStr">
        <is>
          <t>İş Güvenliği Uzmanı</t>
        </is>
      </c>
      <c r="H111" s="7" t="n">
        <v>0</v>
      </c>
      <c r="I111" s="12" t="n"/>
      <c r="J111" s="5">
        <f>H111</f>
        <v/>
      </c>
      <c r="K111" s="162" t="inlineStr">
        <is>
          <t>Kırıcılı Ekskavatör</t>
        </is>
      </c>
      <c r="L111" s="219" t="n"/>
      <c r="M111" s="9" t="n"/>
      <c r="N111" s="9" t="n"/>
      <c r="O111" s="10" t="n">
        <v>0</v>
      </c>
    </row>
    <row r="112" ht="26.25" customHeight="1">
      <c r="B112" s="162" t="n"/>
      <c r="C112" s="219" t="n"/>
      <c r="D112" s="3" t="n"/>
      <c r="E112" s="11" t="n"/>
      <c r="F112" s="5" t="n"/>
      <c r="G112" s="6" t="inlineStr">
        <is>
          <t>Saha İşçisi</t>
        </is>
      </c>
      <c r="H112" s="7" t="n">
        <v>0</v>
      </c>
      <c r="I112" s="12" t="n"/>
      <c r="J112" s="5">
        <f>H112</f>
        <v/>
      </c>
      <c r="K112" s="162" t="inlineStr">
        <is>
          <t>Vinç</t>
        </is>
      </c>
      <c r="L112" s="219" t="n"/>
      <c r="M112" s="9" t="n"/>
      <c r="N112" s="9" t="n"/>
      <c r="O112" s="10" t="n">
        <v>0</v>
      </c>
    </row>
    <row r="113" ht="26.25" customHeight="1">
      <c r="B113" s="162" t="n"/>
      <c r="C113" s="219" t="n"/>
      <c r="D113" s="3" t="n"/>
      <c r="E113" s="11" t="n"/>
      <c r="F113" s="5" t="n"/>
      <c r="G113" s="6" t="inlineStr">
        <is>
          <t>Topoğraf</t>
        </is>
      </c>
      <c r="H113" s="7" t="n">
        <v>0</v>
      </c>
      <c r="I113" s="12" t="n"/>
      <c r="J113" s="5">
        <f>H113</f>
        <v/>
      </c>
      <c r="K113" s="162" t="inlineStr">
        <is>
          <t>Silindir</t>
        </is>
      </c>
      <c r="L113" s="219" t="n"/>
      <c r="M113" s="9" t="n"/>
      <c r="N113" s="9" t="n"/>
      <c r="O113" s="10" t="n">
        <v>0</v>
      </c>
    </row>
    <row r="114" ht="26.25" customHeight="1">
      <c r="B114" s="162" t="n"/>
      <c r="C114" s="219" t="n"/>
      <c r="D114" s="3" t="n"/>
      <c r="E114" s="11" t="n"/>
      <c r="F114" s="5" t="n"/>
      <c r="G114" s="6" t="n"/>
      <c r="H114" s="7" t="n"/>
      <c r="I114" s="12" t="n"/>
      <c r="J114" s="13" t="n"/>
      <c r="K114" s="162" t="n"/>
      <c r="L114" s="219" t="n"/>
      <c r="M114" s="9" t="n"/>
      <c r="N114" s="9" t="n"/>
      <c r="O114" s="10" t="n"/>
    </row>
    <row r="115" ht="26.25" customHeight="1">
      <c r="B115" s="243" t="n"/>
      <c r="C115" s="219" t="n"/>
      <c r="D115" s="14" t="n"/>
      <c r="E115" s="11" t="n"/>
      <c r="F115" s="5" t="n"/>
      <c r="G115" s="6" t="n"/>
      <c r="H115" s="15" t="n"/>
      <c r="I115" s="12" t="n"/>
      <c r="J115" s="13" t="n"/>
      <c r="K115" s="244" t="inlineStr">
        <is>
          <t xml:space="preserve"> Toplam</t>
        </is>
      </c>
      <c r="L115" s="218" t="n"/>
      <c r="M115" s="218" t="n"/>
      <c r="N115" s="219" t="n"/>
      <c r="O115" s="16">
        <f>SUM(O106:O114)</f>
        <v/>
      </c>
    </row>
    <row r="116" ht="26.25" customHeight="1">
      <c r="B116" s="243" t="n"/>
      <c r="C116" s="219" t="n"/>
      <c r="D116" s="14" t="n"/>
      <c r="E116" s="11" t="n"/>
      <c r="F116" s="5" t="n"/>
      <c r="G116" s="6" t="n"/>
      <c r="H116" s="15" t="n"/>
      <c r="I116" s="12" t="n"/>
      <c r="J116" s="13" t="n"/>
      <c r="K116" s="245" t="inlineStr">
        <is>
          <t>GÜNLÜK GELEN MALZEME LİSTESİ</t>
        </is>
      </c>
      <c r="L116" s="218" t="n"/>
      <c r="M116" s="218" t="n"/>
      <c r="N116" s="218" t="n"/>
      <c r="O116" s="220" t="n"/>
    </row>
    <row r="117" ht="26.25" customHeight="1">
      <c r="A117" s="1" t="inlineStr">
        <is>
          <t xml:space="preserve"> </t>
        </is>
      </c>
      <c r="B117" s="243" t="n"/>
      <c r="C117" s="219" t="n"/>
      <c r="D117" s="3" t="n"/>
      <c r="E117" s="17" t="n"/>
      <c r="F117" s="5" t="n"/>
      <c r="G117" s="6" t="n"/>
      <c r="H117" s="15" t="n"/>
      <c r="I117" s="18" t="n"/>
      <c r="J117" s="13" t="n"/>
      <c r="K117" s="246" t="n"/>
      <c r="L117" s="218" t="n"/>
      <c r="M117" s="219" t="n"/>
      <c r="N117" s="16" t="n"/>
      <c r="O117" s="220" t="n"/>
    </row>
    <row r="118" ht="26.25" customHeight="1">
      <c r="B118" s="243" t="n"/>
      <c r="C118" s="219" t="n"/>
      <c r="D118" s="3" t="n"/>
      <c r="E118" s="17" t="n"/>
      <c r="F118" s="5" t="n"/>
      <c r="G118" s="6" t="n"/>
      <c r="H118" s="15" t="n"/>
      <c r="I118" s="18" t="n"/>
      <c r="J118" s="13" t="n"/>
      <c r="K118" s="246" t="n"/>
      <c r="L118" s="218" t="n"/>
      <c r="M118" s="219" t="n"/>
      <c r="N118" s="16" t="n"/>
      <c r="O118" s="220" t="n"/>
    </row>
    <row r="119" ht="26.25" customHeight="1">
      <c r="B119" s="21" t="n"/>
      <c r="C119" s="219" t="n"/>
      <c r="D119" s="19" t="n"/>
      <c r="E119" s="20" t="n"/>
      <c r="F119" s="5" t="n"/>
      <c r="G119" s="21" t="n"/>
      <c r="H119" s="22" t="n"/>
      <c r="I119" s="23" t="n"/>
      <c r="J119" s="13" t="n"/>
      <c r="K119" s="246" t="n"/>
      <c r="L119" s="218" t="n"/>
      <c r="M119" s="219" t="n"/>
      <c r="N119" s="247" t="n"/>
      <c r="O119" s="220" t="n"/>
    </row>
    <row r="120" ht="27" customHeight="1">
      <c r="B120" s="27" t="inlineStr">
        <is>
          <t>Toplam</t>
        </is>
      </c>
      <c r="C120" s="219" t="n"/>
      <c r="D120" s="24">
        <f>SUM(D106:D119)</f>
        <v/>
      </c>
      <c r="E120" s="25" t="inlineStr">
        <is>
          <t>G. Toplam</t>
        </is>
      </c>
      <c r="F120" s="58">
        <f>SUM(F106:F119)</f>
        <v/>
      </c>
      <c r="G120" s="27" t="inlineStr">
        <is>
          <t>Toplam</t>
        </is>
      </c>
      <c r="H120" s="28">
        <f>SUM(H106:H119)</f>
        <v/>
      </c>
      <c r="I120" s="29" t="inlineStr">
        <is>
          <t>G. Toplam</t>
        </is>
      </c>
      <c r="J120" s="26">
        <f>SUM(J106:J119)</f>
        <v/>
      </c>
      <c r="K120" s="246" t="n"/>
      <c r="L120" s="218" t="n"/>
      <c r="M120" s="219" t="n"/>
      <c r="N120" s="247" t="n"/>
      <c r="O120" s="220" t="n"/>
    </row>
    <row r="121" ht="27" customHeight="1" thickBot="1">
      <c r="B121" s="143" t="inlineStr">
        <is>
          <t>GENEL TOPLAM</t>
        </is>
      </c>
      <c r="C121" s="222" t="n"/>
      <c r="D121" s="222" t="n"/>
      <c r="E121" s="222" t="n"/>
      <c r="F121" s="222" t="n"/>
      <c r="G121" s="222" t="n"/>
      <c r="H121" s="222" t="n"/>
      <c r="I121" s="222" t="n"/>
      <c r="J121" s="30">
        <f>F120+J120</f>
        <v/>
      </c>
      <c r="K121" s="246" t="n"/>
      <c r="L121" s="218" t="n"/>
      <c r="M121" s="219" t="n"/>
      <c r="N121" s="247" t="n"/>
      <c r="O121" s="220" t="n"/>
    </row>
    <row r="122" ht="12.6" customHeight="1">
      <c r="B122" s="248" t="inlineStr">
        <is>
          <t>ALTYÜKLENİCİ EKİPLERİ PUANTAJI</t>
        </is>
      </c>
      <c r="C122" s="228" t="n"/>
      <c r="D122" s="228" t="n"/>
      <c r="E122" s="228" t="n"/>
      <c r="F122" s="228" t="n"/>
      <c r="G122" s="228" t="n"/>
      <c r="H122" s="228" t="n"/>
      <c r="I122" s="228" t="n"/>
      <c r="J122" s="228" t="n"/>
      <c r="K122" s="228" t="n"/>
      <c r="L122" s="228" t="n"/>
      <c r="M122" s="228" t="n"/>
      <c r="N122" s="228" t="n"/>
      <c r="O122" s="249" t="n"/>
    </row>
    <row r="123" ht="8.4" customHeight="1">
      <c r="B123" s="239" t="n"/>
      <c r="C123" s="250" t="n"/>
      <c r="D123" s="250" t="n"/>
      <c r="E123" s="250" t="n"/>
      <c r="F123" s="250" t="n"/>
      <c r="G123" s="250" t="n"/>
      <c r="H123" s="250" t="n"/>
      <c r="I123" s="250" t="n"/>
      <c r="J123" s="250" t="n"/>
      <c r="K123" s="250" t="n"/>
      <c r="L123" s="250" t="n"/>
      <c r="M123" s="250" t="n"/>
      <c r="N123" s="250" t="n"/>
      <c r="O123" s="251" t="n"/>
    </row>
    <row r="124" ht="22.5" customHeight="1">
      <c r="B124" s="127" t="inlineStr">
        <is>
          <t>KABA İNŞAAT EKİBİ</t>
        </is>
      </c>
      <c r="C124" s="218" t="n"/>
      <c r="D124" s="218" t="n"/>
      <c r="E124" s="219" t="n"/>
      <c r="F124" s="129" t="inlineStr">
        <is>
          <t>EKİP</t>
        </is>
      </c>
      <c r="G124" s="218" t="n"/>
      <c r="H124" s="218" t="n"/>
      <c r="I124" s="219" t="n"/>
      <c r="J124" s="133" t="inlineStr">
        <is>
          <t>HAFRİYAT EKİBİ</t>
        </is>
      </c>
      <c r="K124" s="218" t="n"/>
      <c r="L124" s="219" t="n"/>
      <c r="M124" s="134" t="inlineStr">
        <is>
          <t>İZOLASYON EKİBİ</t>
        </is>
      </c>
      <c r="N124" s="218" t="n"/>
      <c r="O124" s="219" t="n"/>
    </row>
    <row r="125" ht="26.25" customHeight="1">
      <c r="B125" s="127" t="inlineStr">
        <is>
          <t>PERSONEL</t>
        </is>
      </c>
      <c r="C125" s="219" t="n"/>
      <c r="D125" s="34" t="inlineStr">
        <is>
          <t>PUANTAJ</t>
        </is>
      </c>
      <c r="E125" s="128" t="inlineStr">
        <is>
          <t>KÜMÜLATİF PUANTAJ</t>
        </is>
      </c>
      <c r="F125" s="129" t="inlineStr">
        <is>
          <t>PERSONEL</t>
        </is>
      </c>
      <c r="G125" s="219" t="n"/>
      <c r="H125" s="35" t="inlineStr">
        <is>
          <t>PUANTAJ</t>
        </is>
      </c>
      <c r="I125" s="129" t="inlineStr">
        <is>
          <t>KÜMÜLATİF PUANTAJ</t>
        </is>
      </c>
      <c r="J125" s="133" t="inlineStr">
        <is>
          <t>PERSONEL</t>
        </is>
      </c>
      <c r="K125" s="34" t="inlineStr">
        <is>
          <t>PUANTAJ</t>
        </is>
      </c>
      <c r="L125" s="128" t="inlineStr">
        <is>
          <t>KÜMÜLATİF PUANTAJ</t>
        </is>
      </c>
      <c r="M125" s="36" t="inlineStr">
        <is>
          <t>PERSONEL</t>
        </is>
      </c>
      <c r="N125" s="35" t="inlineStr">
        <is>
          <t>PUANTAJ</t>
        </is>
      </c>
      <c r="O125" s="37" t="inlineStr">
        <is>
          <t>KÜMÜLATİF PUANTAJ</t>
        </is>
      </c>
    </row>
    <row r="126" ht="21" customFormat="1" customHeight="1" s="38">
      <c r="B126" s="107" t="inlineStr">
        <is>
          <t>Saha Mühendisi</t>
        </is>
      </c>
      <c r="C126" s="219" t="n"/>
      <c r="D126" s="39" t="n">
        <v>0</v>
      </c>
      <c r="E126" s="40">
        <f>D126</f>
        <v/>
      </c>
      <c r="F126" s="109" t="inlineStr">
        <is>
          <t>Saha Mühendisi</t>
        </is>
      </c>
      <c r="G126" s="219" t="n"/>
      <c r="H126" s="15" t="n">
        <v>0</v>
      </c>
      <c r="I126" s="41">
        <f>H126</f>
        <v/>
      </c>
      <c r="J126" s="42" t="inlineStr">
        <is>
          <t>Saha Mühendisi</t>
        </is>
      </c>
      <c r="K126" s="39" t="n">
        <v>0</v>
      </c>
      <c r="L126" s="40">
        <f>K126</f>
        <v/>
      </c>
      <c r="M126" s="43" t="inlineStr">
        <is>
          <t>Saha Mühendisi</t>
        </is>
      </c>
      <c r="N126" s="15" t="n">
        <v>0</v>
      </c>
      <c r="O126" s="10">
        <f>N126</f>
        <v/>
      </c>
    </row>
    <row r="127" ht="21" customFormat="1" customHeight="1" s="38">
      <c r="B127" s="107" t="inlineStr">
        <is>
          <t>Kalfa (Formen)</t>
        </is>
      </c>
      <c r="C127" s="219" t="n"/>
      <c r="D127" s="39" t="n">
        <v>0</v>
      </c>
      <c r="E127" s="40">
        <f>D127</f>
        <v/>
      </c>
      <c r="F127" s="109" t="inlineStr">
        <is>
          <t>Kalfa</t>
        </is>
      </c>
      <c r="G127" s="219" t="n"/>
      <c r="H127" s="15" t="n">
        <v>0</v>
      </c>
      <c r="I127" s="41">
        <f>H127</f>
        <v/>
      </c>
      <c r="J127" s="42" t="inlineStr">
        <is>
          <t>Kalfa</t>
        </is>
      </c>
      <c r="K127" s="39" t="n">
        <v>0</v>
      </c>
      <c r="L127" s="40">
        <f>K127</f>
        <v/>
      </c>
      <c r="M127" s="43" t="inlineStr">
        <is>
          <t>Kalfa</t>
        </is>
      </c>
      <c r="N127" s="15" t="n">
        <v>0</v>
      </c>
      <c r="O127" s="10">
        <f>N127</f>
        <v/>
      </c>
    </row>
    <row r="128" ht="21" customFormat="1" customHeight="1" s="38">
      <c r="B128" s="107" t="inlineStr">
        <is>
          <t>Usta ( Kalıpçı)</t>
        </is>
      </c>
      <c r="C128" s="219" t="n"/>
      <c r="D128" s="39" t="n">
        <v>0</v>
      </c>
      <c r="E128" s="40">
        <f>D128</f>
        <v/>
      </c>
      <c r="F128" s="109" t="inlineStr">
        <is>
          <t>Usta</t>
        </is>
      </c>
      <c r="G128" s="219" t="n"/>
      <c r="H128" s="15" t="n">
        <v>0</v>
      </c>
      <c r="I128" s="41">
        <f>H128</f>
        <v/>
      </c>
      <c r="J128" s="42" t="inlineStr">
        <is>
          <t>Topograf</t>
        </is>
      </c>
      <c r="K128" s="39" t="n">
        <v>0</v>
      </c>
      <c r="L128" s="40">
        <f>K128</f>
        <v/>
      </c>
      <c r="M128" s="43" t="inlineStr">
        <is>
          <t xml:space="preserve">Usta </t>
        </is>
      </c>
      <c r="N128" s="15" t="n">
        <v>0</v>
      </c>
      <c r="O128" s="10">
        <f>N128</f>
        <v/>
      </c>
    </row>
    <row r="129" ht="21" customFormat="1" customHeight="1" s="38">
      <c r="B129" s="107" t="inlineStr">
        <is>
          <t>Usta ( Demirci)</t>
        </is>
      </c>
      <c r="C129" s="219" t="n"/>
      <c r="D129" s="39" t="n">
        <v>0</v>
      </c>
      <c r="E129" s="40">
        <f>D129</f>
        <v/>
      </c>
      <c r="F129" s="109" t="inlineStr">
        <is>
          <t>Beden İşçisi</t>
        </is>
      </c>
      <c r="G129" s="219" t="n"/>
      <c r="H129" s="15" t="n">
        <v>0</v>
      </c>
      <c r="I129" s="41">
        <f>H129</f>
        <v/>
      </c>
      <c r="J129" s="42" t="inlineStr">
        <is>
          <t>Beden İşçisi</t>
        </is>
      </c>
      <c r="K129" s="39" t="n">
        <v>0</v>
      </c>
      <c r="L129" s="40">
        <f>K129</f>
        <v/>
      </c>
      <c r="M129" s="43" t="inlineStr">
        <is>
          <t>Beden İşçisi</t>
        </is>
      </c>
      <c r="N129" s="15" t="n">
        <v>0</v>
      </c>
      <c r="O129" s="10">
        <f>N129</f>
        <v/>
      </c>
    </row>
    <row r="130" ht="21" customFormat="1" customHeight="1" s="38">
      <c r="B130" s="107" t="inlineStr">
        <is>
          <t>Beden İşçisi</t>
        </is>
      </c>
      <c r="C130" s="219" t="n"/>
      <c r="D130" s="39" t="n">
        <v>0</v>
      </c>
      <c r="E130" s="40">
        <f>D130</f>
        <v/>
      </c>
      <c r="F130" s="109" t="inlineStr">
        <is>
          <t>İş. Mak. Opr.</t>
        </is>
      </c>
      <c r="G130" s="219" t="n"/>
      <c r="H130" s="15" t="n">
        <v>0</v>
      </c>
      <c r="I130" s="41">
        <f>H130</f>
        <v/>
      </c>
      <c r="J130" s="42" t="inlineStr">
        <is>
          <t>İş. Mak. Opr. (Eks.)</t>
        </is>
      </c>
      <c r="K130" s="39" t="n">
        <v>0</v>
      </c>
      <c r="L130" s="40">
        <f>K130</f>
        <v/>
      </c>
      <c r="M130" s="43" t="n"/>
      <c r="N130" s="15" t="n"/>
      <c r="O130" s="10" t="n"/>
    </row>
    <row r="131" ht="21" customFormat="1" customHeight="1" s="38">
      <c r="B131" s="107" t="inlineStr">
        <is>
          <t>İş. Mak. Opr.</t>
        </is>
      </c>
      <c r="C131" s="219" t="n"/>
      <c r="D131" s="39" t="n">
        <v>0</v>
      </c>
      <c r="E131" s="40">
        <f>D131</f>
        <v/>
      </c>
      <c r="F131" s="109" t="inlineStr">
        <is>
          <t>Test Ekibi</t>
        </is>
      </c>
      <c r="G131" s="219" t="n"/>
      <c r="H131" s="15" t="n">
        <v>0</v>
      </c>
      <c r="I131" s="41">
        <f>H131</f>
        <v/>
      </c>
      <c r="J131" s="42" t="inlineStr">
        <is>
          <t>Şoför (Kamyon)</t>
        </is>
      </c>
      <c r="K131" s="39" t="n">
        <v>0</v>
      </c>
      <c r="L131" s="40">
        <f>K131</f>
        <v/>
      </c>
      <c r="M131" s="43" t="n"/>
      <c r="N131" s="15" t="n"/>
      <c r="O131" s="10" t="n"/>
    </row>
    <row r="132" ht="21" customHeight="1">
      <c r="B132" s="130" t="inlineStr">
        <is>
          <t>TOPLAMLAR</t>
        </is>
      </c>
      <c r="C132" s="219" t="n"/>
      <c r="D132" s="34">
        <f>SUM(D126:D131)</f>
        <v/>
      </c>
      <c r="E132" s="34">
        <f>SUM(E126:E131)</f>
        <v/>
      </c>
      <c r="F132" s="132" t="inlineStr">
        <is>
          <t>TOPLAMLAR</t>
        </is>
      </c>
      <c r="G132" s="219" t="n"/>
      <c r="H132" s="35">
        <f>SUM(H126:H131)</f>
        <v/>
      </c>
      <c r="I132" s="35">
        <f>SUM(I126:I131)</f>
        <v/>
      </c>
      <c r="J132" s="133" t="inlineStr">
        <is>
          <t>TOPLAMLAR</t>
        </is>
      </c>
      <c r="K132" s="34">
        <f>SUM(K126:K131)</f>
        <v/>
      </c>
      <c r="L132" s="34">
        <f>SUM(L126:L131)</f>
        <v/>
      </c>
      <c r="M132" s="36" t="inlineStr">
        <is>
          <t>TOPLAMLAR</t>
        </is>
      </c>
      <c r="N132" s="35">
        <f>SUM(N126:N131)</f>
        <v/>
      </c>
      <c r="O132" s="44">
        <f>SUM(O126:O131)</f>
        <v/>
      </c>
    </row>
    <row r="133" ht="10.95" customHeight="1">
      <c r="B133" s="252" t="n"/>
      <c r="C133" s="218" t="n"/>
      <c r="D133" s="218" t="n"/>
      <c r="E133" s="218" t="n"/>
      <c r="F133" s="218" t="n"/>
      <c r="G133" s="218" t="n"/>
      <c r="H133" s="218" t="n"/>
      <c r="I133" s="218" t="n"/>
      <c r="J133" s="218" t="n"/>
      <c r="K133" s="218" t="n"/>
      <c r="L133" s="218" t="n"/>
      <c r="M133" s="218" t="n"/>
      <c r="N133" s="218" t="n"/>
      <c r="O133" s="220" t="n"/>
    </row>
    <row r="134" ht="26.25" customHeight="1">
      <c r="B134" s="127" t="inlineStr">
        <is>
          <t>EKİP</t>
        </is>
      </c>
      <c r="C134" s="218" t="n"/>
      <c r="D134" s="218" t="n"/>
      <c r="E134" s="219" t="n"/>
      <c r="F134" s="129" t="inlineStr">
        <is>
          <t xml:space="preserve">CEPHE- ÇATI EKİBİ </t>
        </is>
      </c>
      <c r="G134" s="218" t="n"/>
      <c r="H134" s="218" t="n"/>
      <c r="I134" s="219" t="n"/>
      <c r="J134" s="133" t="inlineStr">
        <is>
          <t xml:space="preserve">MEKANİK EKİBİ </t>
        </is>
      </c>
      <c r="K134" s="218" t="n"/>
      <c r="L134" s="219" t="n"/>
      <c r="M134" s="134" t="inlineStr">
        <is>
          <t xml:space="preserve">ELEKTRİK EKİBİ </t>
        </is>
      </c>
      <c r="N134" s="218" t="n"/>
      <c r="O134" s="219" t="n"/>
    </row>
    <row r="135" ht="26.25" customHeight="1">
      <c r="B135" s="127" t="inlineStr">
        <is>
          <t>PERSONEL</t>
        </is>
      </c>
      <c r="C135" s="219" t="n"/>
      <c r="D135" s="34" t="inlineStr">
        <is>
          <t>PUANTAJ</t>
        </is>
      </c>
      <c r="E135" s="128" t="inlineStr">
        <is>
          <t>KÜMÜLATİF PUANTAJ</t>
        </is>
      </c>
      <c r="F135" s="129" t="inlineStr">
        <is>
          <t>PERSONEL</t>
        </is>
      </c>
      <c r="G135" s="219" t="n"/>
      <c r="H135" s="35" t="inlineStr">
        <is>
          <t>PUANTAJ</t>
        </is>
      </c>
      <c r="I135" s="129" t="inlineStr">
        <is>
          <t>KÜMÜLATİF PUANTAJ</t>
        </is>
      </c>
      <c r="J135" s="133" t="inlineStr">
        <is>
          <t>PERSONEL</t>
        </is>
      </c>
      <c r="K135" s="34" t="inlineStr">
        <is>
          <t>PUANTAJ</t>
        </is>
      </c>
      <c r="L135" s="128" t="inlineStr">
        <is>
          <t>KÜMÜLATİF PUANTAJ</t>
        </is>
      </c>
      <c r="M135" s="36" t="inlineStr">
        <is>
          <t>PERSONEL</t>
        </is>
      </c>
      <c r="N135" s="35" t="inlineStr">
        <is>
          <t>PUANTAJ</t>
        </is>
      </c>
      <c r="O135" s="37" t="inlineStr">
        <is>
          <t>KÜMÜLATİF PUANTAJ</t>
        </is>
      </c>
    </row>
    <row r="136" ht="21" customHeight="1">
      <c r="B136" s="107" t="inlineStr">
        <is>
          <t>Saha Mühendisi</t>
        </is>
      </c>
      <c r="C136" s="219" t="n"/>
      <c r="D136" s="39" t="n">
        <v>0</v>
      </c>
      <c r="E136" s="39">
        <f>D136</f>
        <v/>
      </c>
      <c r="F136" s="109" t="inlineStr">
        <is>
          <t>Saha Mühendisi</t>
        </is>
      </c>
      <c r="G136" s="219" t="n"/>
      <c r="H136" s="15" t="n">
        <v>0</v>
      </c>
      <c r="I136" s="15">
        <f>H136</f>
        <v/>
      </c>
      <c r="J136" s="42" t="inlineStr">
        <is>
          <t>Saha Mühendisi</t>
        </is>
      </c>
      <c r="K136" s="39" t="n">
        <v>0</v>
      </c>
      <c r="L136" s="39">
        <f>K136</f>
        <v/>
      </c>
      <c r="M136" s="43" t="inlineStr">
        <is>
          <t>Saha Mühendisi</t>
        </is>
      </c>
      <c r="N136" s="15" t="n">
        <v>0</v>
      </c>
      <c r="O136" s="10">
        <f>N136</f>
        <v/>
      </c>
    </row>
    <row r="137" ht="21" customHeight="1">
      <c r="B137" s="107" t="inlineStr">
        <is>
          <t>Kalfa</t>
        </is>
      </c>
      <c r="C137" s="219" t="n"/>
      <c r="D137" s="39" t="n">
        <v>0</v>
      </c>
      <c r="E137" s="39">
        <f>D137</f>
        <v/>
      </c>
      <c r="F137" s="109" t="inlineStr">
        <is>
          <t>Kalfa</t>
        </is>
      </c>
      <c r="G137" s="219" t="n"/>
      <c r="H137" s="15" t="n">
        <v>0</v>
      </c>
      <c r="I137" s="15">
        <f>H137</f>
        <v/>
      </c>
      <c r="J137" s="42" t="inlineStr">
        <is>
          <t>Kalfa</t>
        </is>
      </c>
      <c r="K137" s="39" t="n">
        <v>0</v>
      </c>
      <c r="L137" s="39">
        <f>K137</f>
        <v/>
      </c>
      <c r="M137" s="43" t="inlineStr">
        <is>
          <t>Kalfa</t>
        </is>
      </c>
      <c r="N137" s="15" t="n">
        <v>0</v>
      </c>
      <c r="O137" s="10">
        <f>N137</f>
        <v/>
      </c>
    </row>
    <row r="138" ht="21" customHeight="1">
      <c r="B138" s="107" t="inlineStr">
        <is>
          <t xml:space="preserve">Usta </t>
        </is>
      </c>
      <c r="C138" s="219" t="n"/>
      <c r="D138" s="39" t="n">
        <v>0</v>
      </c>
      <c r="E138" s="39">
        <f>D138</f>
        <v/>
      </c>
      <c r="F138" s="109" t="inlineStr">
        <is>
          <t xml:space="preserve">Usta </t>
        </is>
      </c>
      <c r="G138" s="219" t="n"/>
      <c r="H138" s="15" t="n">
        <v>0</v>
      </c>
      <c r="I138" s="15">
        <f>H138</f>
        <v/>
      </c>
      <c r="J138" s="42" t="inlineStr">
        <is>
          <t xml:space="preserve">Usta </t>
        </is>
      </c>
      <c r="K138" s="39" t="n">
        <v>0</v>
      </c>
      <c r="L138" s="39">
        <f>K138</f>
        <v/>
      </c>
      <c r="M138" s="43" t="inlineStr">
        <is>
          <t xml:space="preserve">Usta </t>
        </is>
      </c>
      <c r="N138" s="15" t="n">
        <v>0</v>
      </c>
      <c r="O138" s="10">
        <f>N138</f>
        <v/>
      </c>
    </row>
    <row r="139" ht="21" customHeight="1">
      <c r="B139" s="107" t="inlineStr">
        <is>
          <t>Beden İşçisi</t>
        </is>
      </c>
      <c r="C139" s="219" t="n"/>
      <c r="D139" s="39" t="n">
        <v>0</v>
      </c>
      <c r="E139" s="39">
        <f>D139</f>
        <v/>
      </c>
      <c r="F139" s="109" t="inlineStr">
        <is>
          <t>Beden İşçisi</t>
        </is>
      </c>
      <c r="G139" s="219" t="n"/>
      <c r="H139" s="15" t="n">
        <v>0</v>
      </c>
      <c r="I139" s="15">
        <f>H139</f>
        <v/>
      </c>
      <c r="J139" s="42" t="inlineStr">
        <is>
          <t>Beden İşçisi</t>
        </is>
      </c>
      <c r="K139" s="39" t="n">
        <v>0</v>
      </c>
      <c r="L139" s="39">
        <f>K139</f>
        <v/>
      </c>
      <c r="M139" s="43" t="inlineStr">
        <is>
          <t>Beden İşçisi</t>
        </is>
      </c>
      <c r="N139" s="15" t="n">
        <v>0</v>
      </c>
      <c r="O139" s="10">
        <f>N139</f>
        <v/>
      </c>
    </row>
    <row r="140" ht="21" customHeight="1">
      <c r="B140" s="107" t="inlineStr">
        <is>
          <t>İş. Mak. Opr.</t>
        </is>
      </c>
      <c r="C140" s="219" t="n"/>
      <c r="D140" s="39" t="n">
        <v>0</v>
      </c>
      <c r="E140" s="39">
        <f>D140</f>
        <v/>
      </c>
      <c r="F140" s="109" t="inlineStr">
        <is>
          <t>İş. Mak. Opr.</t>
        </is>
      </c>
      <c r="G140" s="219" t="n"/>
      <c r="H140" s="15" t="n">
        <v>0</v>
      </c>
      <c r="I140" s="15">
        <f>H140</f>
        <v/>
      </c>
      <c r="J140" s="42" t="inlineStr">
        <is>
          <t>İş. Mak. Opr.</t>
        </is>
      </c>
      <c r="K140" s="39" t="n">
        <v>0</v>
      </c>
      <c r="L140" s="39">
        <f>K140</f>
        <v/>
      </c>
      <c r="M140" s="43" t="inlineStr">
        <is>
          <t>İş. Mak. Opr.</t>
        </is>
      </c>
      <c r="N140" s="15" t="n">
        <v>0</v>
      </c>
      <c r="O140" s="10">
        <f>N140</f>
        <v/>
      </c>
    </row>
    <row r="141" ht="21" customFormat="1" customHeight="1" s="45">
      <c r="B141" s="130" t="inlineStr">
        <is>
          <t>TOPLAMLAR</t>
        </is>
      </c>
      <c r="C141" s="219" t="n"/>
      <c r="D141" s="34">
        <f>SUM(D135:D140)</f>
        <v/>
      </c>
      <c r="E141" s="34">
        <f>SUM(E136:E140)</f>
        <v/>
      </c>
      <c r="F141" s="132" t="inlineStr">
        <is>
          <t>TOPLAMLAR</t>
        </is>
      </c>
      <c r="G141" s="219" t="n"/>
      <c r="H141" s="35">
        <f>SUM(H135:H140)</f>
        <v/>
      </c>
      <c r="I141" s="35">
        <f>SUM(I136:I140)</f>
        <v/>
      </c>
      <c r="J141" s="133" t="inlineStr">
        <is>
          <t>TOPLAMLAR</t>
        </is>
      </c>
      <c r="K141" s="34">
        <f>SUM(K135:K140)</f>
        <v/>
      </c>
      <c r="L141" s="34">
        <f>SUM(L136:L140)</f>
        <v/>
      </c>
      <c r="M141" s="36" t="inlineStr">
        <is>
          <t>TOPLAMLAR</t>
        </is>
      </c>
      <c r="N141" s="35">
        <f>SUM(N135:N140)</f>
        <v/>
      </c>
      <c r="O141" s="44">
        <f>SUM(O136:O140)</f>
        <v/>
      </c>
    </row>
    <row r="142" ht="10.95" customHeight="1">
      <c r="B142" s="252" t="n"/>
      <c r="C142" s="218" t="n"/>
      <c r="D142" s="218" t="n"/>
      <c r="E142" s="218" t="n"/>
      <c r="F142" s="218" t="n"/>
      <c r="G142" s="218" t="n"/>
      <c r="H142" s="218" t="n"/>
      <c r="I142" s="218" t="n"/>
      <c r="J142" s="218" t="n"/>
      <c r="K142" s="218" t="n"/>
      <c r="L142" s="218" t="n"/>
      <c r="M142" s="218" t="n"/>
      <c r="N142" s="218" t="n"/>
      <c r="O142" s="220" t="n"/>
    </row>
    <row r="143" ht="26.25" customHeight="1">
      <c r="B143" s="127" t="inlineStr">
        <is>
          <t>EKİP</t>
        </is>
      </c>
      <c r="C143" s="218" t="n"/>
      <c r="D143" s="218" t="n"/>
      <c r="E143" s="219" t="n"/>
      <c r="F143" s="129" t="inlineStr">
        <is>
          <t>EKİP</t>
        </is>
      </c>
      <c r="G143" s="218" t="n"/>
      <c r="H143" s="218" t="n"/>
      <c r="I143" s="219" t="n"/>
      <c r="J143" s="133" t="inlineStr">
        <is>
          <t>EKİP</t>
        </is>
      </c>
      <c r="K143" s="218" t="n"/>
      <c r="L143" s="219" t="n"/>
      <c r="M143" s="133" t="inlineStr">
        <is>
          <t>EKİP</t>
        </is>
      </c>
      <c r="N143" s="218" t="n"/>
      <c r="O143" s="219" t="n"/>
    </row>
    <row r="144" ht="26.25" customHeight="1">
      <c r="B144" s="127" t="inlineStr">
        <is>
          <t>PERSONEL</t>
        </is>
      </c>
      <c r="C144" s="219" t="n"/>
      <c r="D144" s="34" t="inlineStr">
        <is>
          <t>PUANTAJ</t>
        </is>
      </c>
      <c r="E144" s="128" t="inlineStr">
        <is>
          <t>KÜMÜLATİF PUANTAJ</t>
        </is>
      </c>
      <c r="F144" s="129" t="inlineStr">
        <is>
          <t>PERSONEL</t>
        </is>
      </c>
      <c r="G144" s="219" t="n"/>
      <c r="H144" s="35" t="inlineStr">
        <is>
          <t>PUANTAJ</t>
        </is>
      </c>
      <c r="I144" s="129" t="inlineStr">
        <is>
          <t>KÜMÜLATİF PUANTAJ</t>
        </is>
      </c>
      <c r="J144" s="133" t="inlineStr">
        <is>
          <t>PERSONEL</t>
        </is>
      </c>
      <c r="K144" s="34" t="inlineStr">
        <is>
          <t>PUANTAJ</t>
        </is>
      </c>
      <c r="L144" s="128" t="inlineStr">
        <is>
          <t>KÜMÜLATİF PUANTAJ</t>
        </is>
      </c>
      <c r="M144" s="36" t="inlineStr">
        <is>
          <t>PERSONEL</t>
        </is>
      </c>
      <c r="N144" s="35" t="inlineStr">
        <is>
          <t>PUANTAJ</t>
        </is>
      </c>
      <c r="O144" s="37" t="inlineStr">
        <is>
          <t>KÜMÜLATİF PUANTAJ</t>
        </is>
      </c>
    </row>
    <row r="145" ht="22.2" customHeight="1">
      <c r="B145" s="107" t="inlineStr">
        <is>
          <t>Saha Mühendisi</t>
        </is>
      </c>
      <c r="C145" s="219" t="n"/>
      <c r="D145" s="39" t="n">
        <v>0</v>
      </c>
      <c r="E145" s="39">
        <f>D145</f>
        <v/>
      </c>
      <c r="F145" s="109" t="inlineStr">
        <is>
          <t>Saha Mühendisi</t>
        </is>
      </c>
      <c r="G145" s="219" t="n"/>
      <c r="H145" s="15" t="n">
        <v>0</v>
      </c>
      <c r="I145" s="15">
        <f>H145</f>
        <v/>
      </c>
      <c r="J145" s="42" t="inlineStr">
        <is>
          <t>Saha Mühendisi</t>
        </is>
      </c>
      <c r="K145" s="39" t="n">
        <v>0</v>
      </c>
      <c r="L145" s="39">
        <f>K145</f>
        <v/>
      </c>
      <c r="M145" s="43" t="inlineStr">
        <is>
          <t>Saha Mühendisi</t>
        </is>
      </c>
      <c r="N145" s="15" t="n">
        <v>0</v>
      </c>
      <c r="O145" s="10">
        <f>N145</f>
        <v/>
      </c>
    </row>
    <row r="146" ht="22.2" customHeight="1">
      <c r="B146" s="107" t="inlineStr">
        <is>
          <t>Kalfa</t>
        </is>
      </c>
      <c r="C146" s="219" t="n"/>
      <c r="D146" s="39" t="n">
        <v>0</v>
      </c>
      <c r="E146" s="39">
        <f>D146</f>
        <v/>
      </c>
      <c r="F146" s="109" t="inlineStr">
        <is>
          <t>Kalfa</t>
        </is>
      </c>
      <c r="G146" s="219" t="n"/>
      <c r="H146" s="15" t="n">
        <v>0</v>
      </c>
      <c r="I146" s="15">
        <f>H146</f>
        <v/>
      </c>
      <c r="J146" s="42" t="inlineStr">
        <is>
          <t>Kalfa</t>
        </is>
      </c>
      <c r="K146" s="39" t="n">
        <v>0</v>
      </c>
      <c r="L146" s="39">
        <f>K146</f>
        <v/>
      </c>
      <c r="M146" s="43" t="inlineStr">
        <is>
          <t>Kalfa</t>
        </is>
      </c>
      <c r="N146" s="15" t="n">
        <v>0</v>
      </c>
      <c r="O146" s="10">
        <f>N146</f>
        <v/>
      </c>
    </row>
    <row r="147" ht="22.2" customHeight="1">
      <c r="B147" s="107" t="inlineStr">
        <is>
          <t xml:space="preserve">Usta </t>
        </is>
      </c>
      <c r="C147" s="219" t="n"/>
      <c r="D147" s="39" t="n">
        <v>0</v>
      </c>
      <c r="E147" s="39">
        <f>D147</f>
        <v/>
      </c>
      <c r="F147" s="109" t="inlineStr">
        <is>
          <t xml:space="preserve">Usta </t>
        </is>
      </c>
      <c r="G147" s="219" t="n"/>
      <c r="H147" s="15" t="n">
        <v>0</v>
      </c>
      <c r="I147" s="15">
        <f>H147</f>
        <v/>
      </c>
      <c r="J147" s="42" t="inlineStr">
        <is>
          <t xml:space="preserve">Usta </t>
        </is>
      </c>
      <c r="K147" s="39" t="n">
        <v>0</v>
      </c>
      <c r="L147" s="39">
        <f>K147</f>
        <v/>
      </c>
      <c r="M147" s="43" t="inlineStr">
        <is>
          <t xml:space="preserve">Usta </t>
        </is>
      </c>
      <c r="N147" s="15" t="n">
        <v>0</v>
      </c>
      <c r="O147" s="10">
        <f>N147</f>
        <v/>
      </c>
    </row>
    <row r="148" ht="22.2" customHeight="1">
      <c r="B148" s="107" t="inlineStr">
        <is>
          <t>Beden İşçisi</t>
        </is>
      </c>
      <c r="C148" s="219" t="n"/>
      <c r="D148" s="39" t="n">
        <v>0</v>
      </c>
      <c r="E148" s="39">
        <f>D148</f>
        <v/>
      </c>
      <c r="F148" s="109" t="inlineStr">
        <is>
          <t>Beden İşçisi</t>
        </is>
      </c>
      <c r="G148" s="219" t="n"/>
      <c r="H148" s="15" t="n">
        <v>0</v>
      </c>
      <c r="I148" s="15">
        <f>H148</f>
        <v/>
      </c>
      <c r="J148" s="42" t="inlineStr">
        <is>
          <t>Beden İşçisi</t>
        </is>
      </c>
      <c r="K148" s="39" t="n">
        <v>0</v>
      </c>
      <c r="L148" s="39">
        <f>K148</f>
        <v/>
      </c>
      <c r="M148" s="43" t="inlineStr">
        <is>
          <t>Beden İşçisi</t>
        </is>
      </c>
      <c r="N148" s="15" t="n">
        <v>0</v>
      </c>
      <c r="O148" s="10">
        <f>N148</f>
        <v/>
      </c>
    </row>
    <row r="149" ht="22.2" customHeight="1">
      <c r="B149" s="107" t="inlineStr">
        <is>
          <t>İş. Mak. Opr.</t>
        </is>
      </c>
      <c r="C149" s="219" t="n"/>
      <c r="D149" s="39" t="n">
        <v>0</v>
      </c>
      <c r="E149" s="39">
        <f>D149</f>
        <v/>
      </c>
      <c r="F149" s="109" t="inlineStr">
        <is>
          <t>İş. Mak. Opr.</t>
        </is>
      </c>
      <c r="G149" s="219" t="n"/>
      <c r="H149" s="15" t="n">
        <v>0</v>
      </c>
      <c r="I149" s="15">
        <f>H149</f>
        <v/>
      </c>
      <c r="J149" s="42" t="inlineStr">
        <is>
          <t>İş. Mak. Opr.</t>
        </is>
      </c>
      <c r="K149" s="39" t="n">
        <v>0</v>
      </c>
      <c r="L149" s="39">
        <f>K149</f>
        <v/>
      </c>
      <c r="M149" s="43" t="inlineStr">
        <is>
          <t>İş. Mak. Opr.</t>
        </is>
      </c>
      <c r="N149" s="15" t="n">
        <v>0</v>
      </c>
      <c r="O149" s="10">
        <f>N149</f>
        <v/>
      </c>
    </row>
    <row r="150" ht="22.2" customFormat="1" customHeight="1" s="45">
      <c r="B150" s="130" t="inlineStr">
        <is>
          <t>TOPLAMLAR</t>
        </is>
      </c>
      <c r="C150" s="219" t="n"/>
      <c r="D150" s="34">
        <f>SUM(D144:D149)</f>
        <v/>
      </c>
      <c r="E150" s="34">
        <f>SUM(E145:E149)</f>
        <v/>
      </c>
      <c r="F150" s="132" t="inlineStr">
        <is>
          <t>TOPLAMLAR</t>
        </is>
      </c>
      <c r="G150" s="219" t="n"/>
      <c r="H150" s="35">
        <f>SUM(H144:H149)</f>
        <v/>
      </c>
      <c r="I150" s="35">
        <f>SUM(I145:I149)</f>
        <v/>
      </c>
      <c r="J150" s="133" t="inlineStr">
        <is>
          <t>TOPLAMLAR</t>
        </is>
      </c>
      <c r="K150" s="34">
        <f>SUM(K144:K149)</f>
        <v/>
      </c>
      <c r="L150" s="34">
        <f>SUM(L145:L149)</f>
        <v/>
      </c>
      <c r="M150" s="36" t="inlineStr">
        <is>
          <t>TOPLAMLAR</t>
        </is>
      </c>
      <c r="N150" s="35">
        <f>SUM(N144:N149)</f>
        <v/>
      </c>
      <c r="O150" s="44">
        <f>SUM(O145:O149)</f>
        <v/>
      </c>
    </row>
    <row r="151" ht="10.95" customHeight="1">
      <c r="B151" s="252" t="n"/>
      <c r="C151" s="218" t="n"/>
      <c r="D151" s="218" t="n"/>
      <c r="E151" s="218" t="n"/>
      <c r="F151" s="218" t="n"/>
      <c r="G151" s="218" t="n"/>
      <c r="H151" s="218" t="n"/>
      <c r="I151" s="218" t="n"/>
      <c r="J151" s="218" t="n"/>
      <c r="K151" s="218" t="n"/>
      <c r="L151" s="218" t="n"/>
      <c r="M151" s="218" t="n"/>
      <c r="N151" s="218" t="n"/>
      <c r="O151" s="220" t="n"/>
    </row>
    <row r="152" ht="27" customFormat="1" customHeight="1" s="46">
      <c r="B152" s="253" t="inlineStr">
        <is>
          <t>GÜNLÜK TOPLAM</t>
        </is>
      </c>
      <c r="C152" s="218" t="n"/>
      <c r="D152" s="218" t="n"/>
      <c r="E152" s="218" t="n"/>
      <c r="F152" s="218" t="n"/>
      <c r="G152" s="218" t="n"/>
      <c r="H152" s="218" t="n"/>
      <c r="I152" s="218" t="n"/>
      <c r="J152" s="218" t="n"/>
      <c r="K152" s="218" t="n"/>
      <c r="L152" s="218" t="n"/>
      <c r="M152" s="219" t="n"/>
      <c r="N152" s="254">
        <f>D132+H132+K132+N132+D141+H141+K141+N141+D150+H150+K150+N150</f>
        <v/>
      </c>
      <c r="O152" s="220" t="n"/>
    </row>
    <row r="153" ht="27" customFormat="1" customHeight="1" s="46" thickBot="1">
      <c r="B153" s="255" t="inlineStr">
        <is>
          <t>KÜMÜLATİF TOPLAM</t>
        </is>
      </c>
      <c r="C153" s="222" t="n"/>
      <c r="D153" s="222" t="n"/>
      <c r="E153" s="222" t="n"/>
      <c r="F153" s="222" t="n"/>
      <c r="G153" s="222" t="n"/>
      <c r="H153" s="222" t="n"/>
      <c r="I153" s="222" t="n"/>
      <c r="J153" s="222" t="n"/>
      <c r="K153" s="222" t="n"/>
      <c r="L153" s="222" t="n"/>
      <c r="M153" s="223" t="n"/>
      <c r="N153" s="256">
        <f>E132+I132+L132+O132+E141+I141+L141+O141+E150+I150+L150+O150</f>
        <v/>
      </c>
      <c r="O153" s="226" t="n"/>
    </row>
    <row r="154" ht="87" customHeight="1" thickBot="1">
      <c r="B154" s="213" t="n"/>
      <c r="C154" s="214" t="n"/>
      <c r="D154" s="214" t="n"/>
      <c r="E154" s="215" t="n"/>
      <c r="F154" s="97" t="inlineStr">
        <is>
          <t>GÜNLÜK FAALİYET RAPORU
0XXXX-XXX-SGM-XXX-XXX-DPR-IPY-100001</t>
        </is>
      </c>
      <c r="G154" s="214" t="n"/>
      <c r="H154" s="214" t="n"/>
      <c r="I154" s="214" t="n"/>
      <c r="J154" s="214" t="n"/>
      <c r="K154" s="215" t="n"/>
      <c r="L154" s="99" t="inlineStr">
        <is>
          <t>LOGO</t>
        </is>
      </c>
      <c r="M154" s="214" t="n"/>
      <c r="N154" s="214" t="n"/>
      <c r="O154" s="216" t="n"/>
    </row>
    <row r="155" ht="21" customHeight="1" thickBot="1">
      <c r="B155" s="257" t="inlineStr">
        <is>
          <t>YAPILAN İŞLER</t>
        </is>
      </c>
      <c r="C155" s="258" t="n"/>
      <c r="D155" s="258" t="n"/>
      <c r="E155" s="258" t="n"/>
      <c r="F155" s="258" t="n"/>
      <c r="G155" s="258" t="n"/>
      <c r="H155" s="258" t="n"/>
      <c r="I155" s="258" t="n"/>
      <c r="J155" s="258" t="n"/>
      <c r="K155" s="258" t="n"/>
      <c r="L155" s="258" t="n"/>
      <c r="M155" s="258" t="n"/>
      <c r="N155" s="258" t="n"/>
      <c r="O155" s="259" t="n"/>
    </row>
    <row r="156" ht="40.2" customFormat="1" customHeight="1" s="45">
      <c r="B156" s="47" t="inlineStr">
        <is>
          <t>NO</t>
        </is>
      </c>
      <c r="C156" s="260" t="inlineStr">
        <is>
          <t>AÇIKLAMA</t>
        </is>
      </c>
      <c r="D156" s="214" t="n"/>
      <c r="E156" s="214" t="n"/>
      <c r="F156" s="214" t="n"/>
      <c r="G156" s="214" t="n"/>
      <c r="H156" s="214" t="n"/>
      <c r="I156" s="215" t="n"/>
      <c r="J156" s="48" t="inlineStr">
        <is>
          <t>İLGİLİ FİRMA/ÇALIŞAN SAYISI</t>
        </is>
      </c>
      <c r="K156" s="261" t="inlineStr">
        <is>
          <t>İLAVE NOTLAR</t>
        </is>
      </c>
      <c r="L156" s="214" t="n"/>
      <c r="M156" s="214" t="n"/>
      <c r="N156" s="214" t="n"/>
      <c r="O156" s="216" t="n"/>
    </row>
    <row r="157" hidden="1" ht="19.95" customFormat="1" customHeight="1" s="45">
      <c r="B157" s="49" t="n"/>
      <c r="C157" s="262" t="inlineStr">
        <is>
          <t>Ruhsat Alım İşleri</t>
        </is>
      </c>
      <c r="D157" s="218" t="n"/>
      <c r="E157" s="218" t="n"/>
      <c r="F157" s="218" t="n"/>
      <c r="G157" s="218" t="n"/>
      <c r="H157" s="218" t="n"/>
      <c r="I157" s="219" t="n"/>
      <c r="J157" s="50" t="n"/>
      <c r="K157" s="263" t="n"/>
      <c r="L157" s="218" t="n"/>
      <c r="M157" s="218" t="n"/>
      <c r="N157" s="218" t="n"/>
      <c r="O157" s="220" t="n"/>
    </row>
    <row r="158" hidden="1" ht="49.95" customFormat="1" customHeight="1" s="45">
      <c r="B158" s="51" t="n">
        <v>1</v>
      </c>
      <c r="C158" s="264" t="inlineStr">
        <is>
          <t>Yapım ruhsatı yazılmış olup, yapı denetim ve Akyurt Belediyesinde tüm imzalar tamamlanmıştır. SGK Müdürlüğüne gidilerek İşyeri açılışı için başvuru yapılmış ve İşyeri açılışı yapılmıştır.</t>
        </is>
      </c>
      <c r="D158" s="218" t="n"/>
      <c r="E158" s="218" t="n"/>
      <c r="F158" s="218" t="n"/>
      <c r="G158" s="218" t="n"/>
      <c r="H158" s="218" t="n"/>
      <c r="I158" s="219" t="n"/>
      <c r="J158" s="52" t="n"/>
      <c r="K158" s="265" t="inlineStr">
        <is>
          <t>SGK İşyeri Sicil Numarası : 4.4120.0101.1457705.006.27.57.000.040</t>
        </is>
      </c>
      <c r="L158" s="218" t="n"/>
      <c r="M158" s="218" t="n"/>
      <c r="N158" s="218" t="n"/>
      <c r="O158" s="220" t="n"/>
    </row>
    <row r="159" hidden="1" ht="19.95" customFormat="1" customHeight="1" s="45">
      <c r="B159" s="49" t="n"/>
      <c r="C159" s="262" t="inlineStr">
        <is>
          <t>Mobilizasyon İşleri</t>
        </is>
      </c>
      <c r="D159" s="218" t="n"/>
      <c r="E159" s="218" t="n"/>
      <c r="F159" s="218" t="n"/>
      <c r="G159" s="218" t="n"/>
      <c r="H159" s="218" t="n"/>
      <c r="I159" s="219" t="n"/>
      <c r="J159" s="50" t="n"/>
      <c r="K159" s="263" t="n"/>
      <c r="L159" s="218" t="n"/>
      <c r="M159" s="218" t="n"/>
      <c r="N159" s="218" t="n"/>
      <c r="O159" s="220" t="n"/>
    </row>
    <row r="160" hidden="1" ht="30" customFormat="1" customHeight="1" s="45">
      <c r="B160" s="51" t="n">
        <v>1</v>
      </c>
      <c r="C160" s="264" t="inlineStr">
        <is>
          <t>Mobilizasyon çalışmaları devam etmektedir.</t>
        </is>
      </c>
      <c r="D160" s="218" t="n"/>
      <c r="E160" s="218" t="n"/>
      <c r="F160" s="218" t="n"/>
      <c r="G160" s="218" t="n"/>
      <c r="H160" s="218" t="n"/>
      <c r="I160" s="219" t="n"/>
      <c r="J160" s="52" t="n"/>
      <c r="K160" s="265" t="inlineStr">
        <is>
          <t>İSG önlemleri kapsamında çalışmalar yapıldı.</t>
        </is>
      </c>
      <c r="L160" s="218" t="n"/>
      <c r="M160" s="218" t="n"/>
      <c r="N160" s="218" t="n"/>
      <c r="O160" s="220" t="n"/>
    </row>
    <row r="161" ht="19.95" customFormat="1" customHeight="1" s="45">
      <c r="B161" s="49" t="n"/>
      <c r="C161" s="262" t="inlineStr">
        <is>
          <t>Kazı İşleri</t>
        </is>
      </c>
      <c r="D161" s="218" t="n"/>
      <c r="E161" s="218" t="n"/>
      <c r="F161" s="218" t="n"/>
      <c r="G161" s="218" t="n"/>
      <c r="H161" s="218" t="n"/>
      <c r="I161" s="219" t="n"/>
      <c r="J161" s="50" t="n"/>
      <c r="K161" s="263" t="n"/>
      <c r="L161" s="218" t="n"/>
      <c r="M161" s="218" t="n"/>
      <c r="N161" s="218" t="n"/>
      <c r="O161" s="220" t="n"/>
    </row>
    <row r="162" ht="34.5" customFormat="1" customHeight="1" s="45">
      <c r="B162" s="51" t="n">
        <v>1</v>
      </c>
      <c r="C162" s="266" t="n"/>
      <c r="D162" s="218" t="n"/>
      <c r="E162" s="218" t="n"/>
      <c r="F162" s="218" t="n"/>
      <c r="G162" s="218" t="n"/>
      <c r="H162" s="218" t="n"/>
      <c r="I162" s="219" t="n"/>
      <c r="J162" s="52" t="n"/>
      <c r="K162" s="267" t="n"/>
      <c r="L162" s="218" t="n"/>
      <c r="M162" s="218" t="n"/>
      <c r="N162" s="218" t="n"/>
      <c r="O162" s="220" t="n"/>
    </row>
    <row r="163" ht="34.5" customFormat="1" customHeight="1" s="45">
      <c r="B163" s="51" t="n">
        <v>2</v>
      </c>
      <c r="C163" s="266" t="n"/>
      <c r="D163" s="218" t="n"/>
      <c r="E163" s="218" t="n"/>
      <c r="F163" s="218" t="n"/>
      <c r="G163" s="218" t="n"/>
      <c r="H163" s="218" t="n"/>
      <c r="I163" s="219" t="n"/>
      <c r="J163" s="52" t="n"/>
      <c r="K163" s="267" t="n"/>
      <c r="L163" s="218" t="n"/>
      <c r="M163" s="218" t="n"/>
      <c r="N163" s="218" t="n"/>
      <c r="O163" s="220" t="n"/>
    </row>
    <row r="164" ht="35.4" customFormat="1" customHeight="1" s="45">
      <c r="B164" s="51" t="n">
        <v>3</v>
      </c>
      <c r="C164" s="264" t="n"/>
      <c r="D164" s="218" t="n"/>
      <c r="E164" s="218" t="n"/>
      <c r="F164" s="218" t="n"/>
      <c r="G164" s="218" t="n"/>
      <c r="H164" s="218" t="n"/>
      <c r="I164" s="219" t="n"/>
      <c r="J164" s="52" t="n"/>
      <c r="K164" s="265" t="n"/>
      <c r="L164" s="218" t="n"/>
      <c r="M164" s="218" t="n"/>
      <c r="N164" s="218" t="n"/>
      <c r="O164" s="220" t="n"/>
    </row>
    <row r="165" ht="19.95" customFormat="1" customHeight="1" s="45">
      <c r="B165" s="49" t="n"/>
      <c r="C165" s="262" t="inlineStr">
        <is>
          <t>Betonarme Kaba Yapı İşleri</t>
        </is>
      </c>
      <c r="D165" s="218" t="n"/>
      <c r="E165" s="218" t="n"/>
      <c r="F165" s="218" t="n"/>
      <c r="G165" s="218" t="n"/>
      <c r="H165" s="218" t="n"/>
      <c r="I165" s="219" t="n"/>
      <c r="J165" s="50" t="n"/>
      <c r="K165" s="263" t="n"/>
      <c r="L165" s="218" t="n"/>
      <c r="M165" s="218" t="n"/>
      <c r="N165" s="218" t="n"/>
      <c r="O165" s="220" t="n"/>
    </row>
    <row r="166" ht="34.5" customFormat="1" customHeight="1" s="45">
      <c r="B166" s="51" t="n">
        <v>1</v>
      </c>
      <c r="C166" s="266" t="n"/>
      <c r="D166" s="218" t="n"/>
      <c r="E166" s="218" t="n"/>
      <c r="F166" s="218" t="n"/>
      <c r="G166" s="218" t="n"/>
      <c r="H166" s="218" t="n"/>
      <c r="I166" s="219" t="n"/>
      <c r="J166" s="52" t="n"/>
      <c r="K166" s="65" t="n"/>
      <c r="L166" s="66" t="n"/>
      <c r="M166" s="66" t="n"/>
      <c r="N166" s="66" t="n"/>
      <c r="O166" s="67" t="n"/>
    </row>
    <row r="167" ht="34.5" customFormat="1" customHeight="1" s="45">
      <c r="B167" s="51" t="n">
        <v>2</v>
      </c>
      <c r="C167" s="266" t="n"/>
      <c r="D167" s="218" t="n"/>
      <c r="E167" s="218" t="n"/>
      <c r="F167" s="218" t="n"/>
      <c r="G167" s="218" t="n"/>
      <c r="H167" s="218" t="n"/>
      <c r="I167" s="219" t="n"/>
      <c r="J167" s="52" t="n"/>
      <c r="K167" s="267" t="n"/>
      <c r="L167" s="218" t="n"/>
      <c r="M167" s="218" t="n"/>
      <c r="N167" s="218" t="n"/>
      <c r="O167" s="220" t="n"/>
    </row>
    <row r="168" ht="34.5" customFormat="1" customHeight="1" s="45">
      <c r="B168" s="51" t="n">
        <v>3</v>
      </c>
      <c r="C168" s="264" t="n"/>
      <c r="D168" s="218" t="n"/>
      <c r="E168" s="218" t="n"/>
      <c r="F168" s="218" t="n"/>
      <c r="G168" s="218" t="n"/>
      <c r="H168" s="218" t="n"/>
      <c r="I168" s="219" t="n"/>
      <c r="J168" s="52" t="n"/>
      <c r="K168" s="268" t="n"/>
      <c r="L168" s="218" t="n"/>
      <c r="M168" s="218" t="n"/>
      <c r="N168" s="218" t="n"/>
      <c r="O168" s="220" t="n"/>
    </row>
    <row r="169" ht="19.95" customFormat="1" customHeight="1" s="45">
      <c r="B169" s="49" t="n"/>
      <c r="C169" s="262" t="inlineStr">
        <is>
          <t>İnce Yapı İşleri</t>
        </is>
      </c>
      <c r="D169" s="218" t="n"/>
      <c r="E169" s="218" t="n"/>
      <c r="F169" s="218" t="n"/>
      <c r="G169" s="218" t="n"/>
      <c r="H169" s="218" t="n"/>
      <c r="I169" s="219" t="n"/>
      <c r="J169" s="50" t="n"/>
      <c r="K169" s="263" t="n"/>
      <c r="L169" s="218" t="n"/>
      <c r="M169" s="218" t="n"/>
      <c r="N169" s="218" t="n"/>
      <c r="O169" s="220" t="n"/>
    </row>
    <row r="170" ht="35.4" customFormat="1" customHeight="1" s="45">
      <c r="B170" s="51" t="n">
        <v>1</v>
      </c>
      <c r="C170" s="264" t="n"/>
      <c r="D170" s="218" t="n"/>
      <c r="E170" s="218" t="n"/>
      <c r="F170" s="218" t="n"/>
      <c r="G170" s="218" t="n"/>
      <c r="H170" s="218" t="n"/>
      <c r="I170" s="219" t="n"/>
      <c r="J170" s="52" t="n"/>
      <c r="K170" s="268" t="n"/>
      <c r="L170" s="218" t="n"/>
      <c r="M170" s="218" t="n"/>
      <c r="N170" s="218" t="n"/>
      <c r="O170" s="220" t="n"/>
    </row>
    <row r="171" ht="35.4" customFormat="1" customHeight="1" s="45">
      <c r="B171" s="51" t="n">
        <v>2</v>
      </c>
      <c r="C171" s="264" t="n"/>
      <c r="D171" s="218" t="n"/>
      <c r="E171" s="218" t="n"/>
      <c r="F171" s="218" t="n"/>
      <c r="G171" s="218" t="n"/>
      <c r="H171" s="218" t="n"/>
      <c r="I171" s="219" t="n"/>
      <c r="J171" s="52" t="n"/>
      <c r="K171" s="268" t="n"/>
      <c r="L171" s="218" t="n"/>
      <c r="M171" s="218" t="n"/>
      <c r="N171" s="218" t="n"/>
      <c r="O171" s="220" t="n"/>
    </row>
    <row r="172" ht="35.4" customFormat="1" customHeight="1" s="45">
      <c r="B172" s="51" t="n">
        <v>3</v>
      </c>
      <c r="C172" s="264" t="n"/>
      <c r="D172" s="218" t="n"/>
      <c r="E172" s="218" t="n"/>
      <c r="F172" s="218" t="n"/>
      <c r="G172" s="218" t="n"/>
      <c r="H172" s="218" t="n"/>
      <c r="I172" s="219" t="n"/>
      <c r="J172" s="52" t="n"/>
      <c r="K172" s="268" t="n"/>
      <c r="L172" s="218" t="n"/>
      <c r="M172" s="218" t="n"/>
      <c r="N172" s="218" t="n"/>
      <c r="O172" s="220" t="n"/>
    </row>
    <row r="173" ht="19.95" customFormat="1" customHeight="1" s="45">
      <c r="B173" s="49" t="n"/>
      <c r="C173" s="262" t="inlineStr">
        <is>
          <t>Altyapı İşleri</t>
        </is>
      </c>
      <c r="D173" s="218" t="n"/>
      <c r="E173" s="218" t="n"/>
      <c r="F173" s="218" t="n"/>
      <c r="G173" s="218" t="n"/>
      <c r="H173" s="218" t="n"/>
      <c r="I173" s="219" t="n"/>
      <c r="J173" s="50" t="n"/>
      <c r="K173" s="263" t="n"/>
      <c r="L173" s="218" t="n"/>
      <c r="M173" s="218" t="n"/>
      <c r="N173" s="218" t="n"/>
      <c r="O173" s="220" t="n"/>
    </row>
    <row r="174" ht="35.4" customFormat="1" customHeight="1" s="45">
      <c r="B174" s="51" t="n">
        <v>1</v>
      </c>
      <c r="C174" s="264" t="n"/>
      <c r="D174" s="218" t="n"/>
      <c r="E174" s="218" t="n"/>
      <c r="F174" s="218" t="n"/>
      <c r="G174" s="218" t="n"/>
      <c r="H174" s="218" t="n"/>
      <c r="I174" s="219" t="n"/>
      <c r="J174" s="52" t="n"/>
      <c r="K174" s="268" t="n"/>
      <c r="L174" s="218" t="n"/>
      <c r="M174" s="218" t="n"/>
      <c r="N174" s="218" t="n"/>
      <c r="O174" s="220" t="n"/>
    </row>
    <row r="175" ht="35.4" customFormat="1" customHeight="1" s="45">
      <c r="B175" s="51" t="n">
        <v>2</v>
      </c>
      <c r="C175" s="264" t="n"/>
      <c r="D175" s="218" t="n"/>
      <c r="E175" s="218" t="n"/>
      <c r="F175" s="218" t="n"/>
      <c r="G175" s="218" t="n"/>
      <c r="H175" s="218" t="n"/>
      <c r="I175" s="219" t="n"/>
      <c r="J175" s="52" t="n"/>
      <c r="K175" s="268" t="n"/>
      <c r="L175" s="218" t="n"/>
      <c r="M175" s="218" t="n"/>
      <c r="N175" s="218" t="n"/>
      <c r="O175" s="220" t="n"/>
    </row>
    <row r="176" ht="35.4" customFormat="1" customHeight="1" s="45">
      <c r="B176" s="51" t="n">
        <v>3</v>
      </c>
      <c r="C176" s="264" t="n"/>
      <c r="D176" s="218" t="n"/>
      <c r="E176" s="218" t="n"/>
      <c r="F176" s="218" t="n"/>
      <c r="G176" s="218" t="n"/>
      <c r="H176" s="218" t="n"/>
      <c r="I176" s="219" t="n"/>
      <c r="J176" s="52" t="n"/>
      <c r="K176" s="268" t="n"/>
      <c r="L176" s="218" t="n"/>
      <c r="M176" s="218" t="n"/>
      <c r="N176" s="218" t="n"/>
      <c r="O176" s="220" t="n"/>
    </row>
    <row r="177" ht="19.95" customFormat="1" customHeight="1" s="45">
      <c r="B177" s="49" t="n"/>
      <c r="C177" s="262" t="inlineStr">
        <is>
          <t>Mekanik İşleri</t>
        </is>
      </c>
      <c r="D177" s="218" t="n"/>
      <c r="E177" s="218" t="n"/>
      <c r="F177" s="218" t="n"/>
      <c r="G177" s="218" t="n"/>
      <c r="H177" s="218" t="n"/>
      <c r="I177" s="219" t="n"/>
      <c r="J177" s="50" t="n"/>
      <c r="K177" s="263" t="n"/>
      <c r="L177" s="218" t="n"/>
      <c r="M177" s="218" t="n"/>
      <c r="N177" s="218" t="n"/>
      <c r="O177" s="220" t="n"/>
    </row>
    <row r="178" ht="35.4" customFormat="1" customHeight="1" s="45">
      <c r="B178" s="51" t="n">
        <v>1</v>
      </c>
      <c r="C178" s="264" t="n"/>
      <c r="D178" s="218" t="n"/>
      <c r="E178" s="218" t="n"/>
      <c r="F178" s="218" t="n"/>
      <c r="G178" s="218" t="n"/>
      <c r="H178" s="218" t="n"/>
      <c r="I178" s="219" t="n"/>
      <c r="J178" s="52" t="n"/>
      <c r="K178" s="268" t="n"/>
      <c r="L178" s="218" t="n"/>
      <c r="M178" s="218" t="n"/>
      <c r="N178" s="218" t="n"/>
      <c r="O178" s="220" t="n"/>
    </row>
    <row r="179" ht="35.4" customFormat="1" customHeight="1" s="45">
      <c r="B179" s="51" t="n">
        <v>2</v>
      </c>
      <c r="C179" s="264" t="n"/>
      <c r="D179" s="218" t="n"/>
      <c r="E179" s="218" t="n"/>
      <c r="F179" s="218" t="n"/>
      <c r="G179" s="218" t="n"/>
      <c r="H179" s="218" t="n"/>
      <c r="I179" s="219" t="n"/>
      <c r="J179" s="52" t="n"/>
      <c r="K179" s="268" t="n"/>
      <c r="L179" s="218" t="n"/>
      <c r="M179" s="218" t="n"/>
      <c r="N179" s="218" t="n"/>
      <c r="O179" s="220" t="n"/>
    </row>
    <row r="180" ht="35.4" customFormat="1" customHeight="1" s="45">
      <c r="B180" s="51" t="n">
        <v>3</v>
      </c>
      <c r="C180" s="264" t="n"/>
      <c r="D180" s="218" t="n"/>
      <c r="E180" s="218" t="n"/>
      <c r="F180" s="218" t="n"/>
      <c r="G180" s="218" t="n"/>
      <c r="H180" s="218" t="n"/>
      <c r="I180" s="219" t="n"/>
      <c r="J180" s="52" t="n"/>
      <c r="K180" s="268" t="n"/>
      <c r="L180" s="218" t="n"/>
      <c r="M180" s="218" t="n"/>
      <c r="N180" s="218" t="n"/>
      <c r="O180" s="220" t="n"/>
    </row>
    <row r="181" ht="19.95" customFormat="1" customHeight="1" s="45">
      <c r="B181" s="49" t="n"/>
      <c r="C181" s="262" t="inlineStr">
        <is>
          <t>Elektrik İşleri</t>
        </is>
      </c>
      <c r="D181" s="218" t="n"/>
      <c r="E181" s="218" t="n"/>
      <c r="F181" s="218" t="n"/>
      <c r="G181" s="218" t="n"/>
      <c r="H181" s="218" t="n"/>
      <c r="I181" s="219" t="n"/>
      <c r="J181" s="50" t="n"/>
      <c r="K181" s="263" t="n"/>
      <c r="L181" s="218" t="n"/>
      <c r="M181" s="218" t="n"/>
      <c r="N181" s="218" t="n"/>
      <c r="O181" s="220" t="n"/>
    </row>
    <row r="182" ht="35.4" customFormat="1" customHeight="1" s="45">
      <c r="B182" s="51" t="n">
        <v>1</v>
      </c>
      <c r="C182" s="264" t="n"/>
      <c r="D182" s="218" t="n"/>
      <c r="E182" s="218" t="n"/>
      <c r="F182" s="218" t="n"/>
      <c r="G182" s="218" t="n"/>
      <c r="H182" s="218" t="n"/>
      <c r="I182" s="219" t="n"/>
      <c r="J182" s="52" t="n"/>
      <c r="K182" s="268" t="n"/>
      <c r="L182" s="218" t="n"/>
      <c r="M182" s="218" t="n"/>
      <c r="N182" s="218" t="n"/>
      <c r="O182" s="220" t="n"/>
    </row>
    <row r="183" ht="35.4" customFormat="1" customHeight="1" s="45">
      <c r="B183" s="51" t="n">
        <v>2</v>
      </c>
      <c r="C183" s="264" t="n"/>
      <c r="D183" s="218" t="n"/>
      <c r="E183" s="218" t="n"/>
      <c r="F183" s="218" t="n"/>
      <c r="G183" s="218" t="n"/>
      <c r="H183" s="218" t="n"/>
      <c r="I183" s="219" t="n"/>
      <c r="J183" s="52" t="n"/>
      <c r="K183" s="268" t="n"/>
      <c r="L183" s="218" t="n"/>
      <c r="M183" s="218" t="n"/>
      <c r="N183" s="218" t="n"/>
      <c r="O183" s="220" t="n"/>
    </row>
    <row r="184" ht="19.95" customFormat="1" customHeight="1" s="45">
      <c r="B184" s="49" t="n"/>
      <c r="C184" s="262" t="inlineStr">
        <is>
          <t>İSG</t>
        </is>
      </c>
      <c r="D184" s="218" t="n"/>
      <c r="E184" s="218" t="n"/>
      <c r="F184" s="218" t="n"/>
      <c r="G184" s="218" t="n"/>
      <c r="H184" s="218" t="n"/>
      <c r="I184" s="219" t="n"/>
      <c r="J184" s="50" t="n"/>
      <c r="K184" s="263" t="n"/>
      <c r="L184" s="218" t="n"/>
      <c r="M184" s="218" t="n"/>
      <c r="N184" s="218" t="n"/>
      <c r="O184" s="220" t="n"/>
    </row>
    <row r="185" ht="35.4" customFormat="1" customHeight="1" s="45">
      <c r="B185" s="51" t="n">
        <v>1</v>
      </c>
      <c r="C185" s="264" t="n"/>
      <c r="D185" s="218" t="n"/>
      <c r="E185" s="218" t="n"/>
      <c r="F185" s="218" t="n"/>
      <c r="G185" s="218" t="n"/>
      <c r="H185" s="218" t="n"/>
      <c r="I185" s="219" t="n"/>
      <c r="J185" s="52" t="n"/>
      <c r="K185" s="268" t="n"/>
      <c r="L185" s="218" t="n"/>
      <c r="M185" s="218" t="n"/>
      <c r="N185" s="218" t="n"/>
      <c r="O185" s="220" t="n"/>
    </row>
    <row r="186" ht="35.4" customFormat="1" customHeight="1" s="45">
      <c r="B186" s="51" t="n">
        <v>2</v>
      </c>
      <c r="C186" s="264" t="n"/>
      <c r="D186" s="218" t="n"/>
      <c r="E186" s="218" t="n"/>
      <c r="F186" s="218" t="n"/>
      <c r="G186" s="218" t="n"/>
      <c r="H186" s="218" t="n"/>
      <c r="I186" s="219" t="n"/>
      <c r="J186" s="52" t="n"/>
      <c r="K186" s="268" t="n"/>
      <c r="L186" s="218" t="n"/>
      <c r="M186" s="218" t="n"/>
      <c r="N186" s="218" t="n"/>
      <c r="O186" s="220" t="n"/>
    </row>
    <row r="187" ht="36" customFormat="1" customHeight="1" s="45">
      <c r="B187" s="51" t="n">
        <v>3</v>
      </c>
      <c r="C187" s="264" t="n"/>
      <c r="D187" s="218" t="n"/>
      <c r="E187" s="218" t="n"/>
      <c r="F187" s="218" t="n"/>
      <c r="G187" s="218" t="n"/>
      <c r="H187" s="218" t="n"/>
      <c r="I187" s="219" t="n"/>
      <c r="J187" s="52" t="n"/>
      <c r="K187" s="268" t="n"/>
      <c r="L187" s="218" t="n"/>
      <c r="M187" s="218" t="n"/>
      <c r="N187" s="218" t="n"/>
      <c r="O187" s="220" t="n"/>
    </row>
    <row r="188" ht="19.95" customFormat="1" customHeight="1" s="45">
      <c r="B188" s="49" t="n"/>
      <c r="C188" s="262" t="inlineStr">
        <is>
          <t>Teknik Ofis İşleri</t>
        </is>
      </c>
      <c r="D188" s="218" t="n"/>
      <c r="E188" s="218" t="n"/>
      <c r="F188" s="218" t="n"/>
      <c r="G188" s="218" t="n"/>
      <c r="H188" s="218" t="n"/>
      <c r="I188" s="219" t="n"/>
      <c r="J188" s="50" t="n"/>
      <c r="K188" s="263" t="n"/>
      <c r="L188" s="218" t="n"/>
      <c r="M188" s="218" t="n"/>
      <c r="N188" s="218" t="n"/>
      <c r="O188" s="220" t="n"/>
    </row>
    <row r="189" ht="35.25" customFormat="1" customHeight="1" s="45">
      <c r="B189" s="51" t="n">
        <v>1</v>
      </c>
      <c r="C189" s="264" t="n"/>
      <c r="D189" s="218" t="n"/>
      <c r="E189" s="218" t="n"/>
      <c r="F189" s="218" t="n"/>
      <c r="G189" s="218" t="n"/>
      <c r="H189" s="218" t="n"/>
      <c r="I189" s="219" t="n"/>
      <c r="J189" s="52" t="n"/>
      <c r="K189" s="268" t="n"/>
      <c r="L189" s="218" t="n"/>
      <c r="M189" s="218" t="n"/>
      <c r="N189" s="218" t="n"/>
      <c r="O189" s="220" t="n"/>
    </row>
    <row r="190" ht="35.25" customFormat="1" customHeight="1" s="45">
      <c r="B190" s="51" t="n">
        <v>2</v>
      </c>
      <c r="C190" s="264" t="n"/>
      <c r="D190" s="218" t="n"/>
      <c r="E190" s="218" t="n"/>
      <c r="F190" s="218" t="n"/>
      <c r="G190" s="218" t="n"/>
      <c r="H190" s="218" t="n"/>
      <c r="I190" s="219" t="n"/>
      <c r="J190" s="52" t="n"/>
      <c r="K190" s="267" t="n"/>
      <c r="L190" s="218" t="n"/>
      <c r="M190" s="218" t="n"/>
      <c r="N190" s="218" t="n"/>
      <c r="O190" s="220" t="n"/>
    </row>
    <row r="191" ht="35.25" customFormat="1" customHeight="1" s="45" thickBot="1">
      <c r="B191" s="51" t="n">
        <v>3</v>
      </c>
      <c r="C191" s="269" t="n"/>
      <c r="D191" s="218" t="n"/>
      <c r="E191" s="218" t="n"/>
      <c r="F191" s="218" t="n"/>
      <c r="G191" s="218" t="n"/>
      <c r="H191" s="218" t="n"/>
      <c r="I191" s="219" t="n"/>
      <c r="J191" s="52" t="n"/>
      <c r="K191" s="267" t="n"/>
      <c r="L191" s="218" t="n"/>
      <c r="M191" s="218" t="n"/>
      <c r="N191" s="218" t="n"/>
      <c r="O191" s="220" t="n"/>
    </row>
    <row r="192" ht="18.75" customHeight="1">
      <c r="B192" s="270" t="inlineStr">
        <is>
          <t>İMZA</t>
        </is>
      </c>
      <c r="C192" s="74" t="inlineStr">
        <is>
          <t>SİGMA MÜHENDİSLİK HİZMETLERİ DEKORASYON İNŞAAT LTD. ŞTİ.</t>
        </is>
      </c>
      <c r="D192" s="214" t="n"/>
      <c r="E192" s="214" t="n"/>
      <c r="F192" s="214" t="n"/>
      <c r="G192" s="214" t="n"/>
      <c r="H192" s="214" t="n"/>
      <c r="I192" s="215" t="n"/>
      <c r="J192" s="76" t="inlineStr">
        <is>
          <t>ANA YÜKLENİCİ</t>
        </is>
      </c>
      <c r="K192" s="214" t="n"/>
      <c r="L192" s="214" t="n"/>
      <c r="M192" s="214" t="n"/>
      <c r="N192" s="214" t="n"/>
      <c r="O192" s="216" t="n"/>
    </row>
    <row r="193" ht="18.75" customHeight="1">
      <c r="B193" s="271" t="n"/>
      <c r="C193" s="272" t="n"/>
      <c r="D193" s="218" t="n"/>
      <c r="E193" s="218" t="n"/>
      <c r="F193" s="218" t="n"/>
      <c r="G193" s="218" t="n"/>
      <c r="H193" s="218" t="n"/>
      <c r="I193" s="219" t="n"/>
      <c r="J193" s="56" t="n"/>
      <c r="K193" s="56" t="n"/>
      <c r="L193" s="56" t="n"/>
      <c r="M193" s="56" t="n"/>
      <c r="N193" s="56" t="n"/>
      <c r="O193" s="57" t="n"/>
    </row>
    <row r="194" ht="14.25" customHeight="1">
      <c r="B194" s="271" t="n"/>
      <c r="C194" s="80" t="n"/>
      <c r="D194" s="273" t="n"/>
      <c r="E194" s="273" t="n"/>
      <c r="F194" s="273" t="n"/>
      <c r="G194" s="273" t="n"/>
      <c r="H194" s="273" t="n"/>
      <c r="I194" s="274" t="n"/>
      <c r="J194" s="80" t="n"/>
      <c r="K194" s="273" t="n"/>
      <c r="L194" s="273" t="n"/>
      <c r="M194" s="273" t="n"/>
      <c r="N194" s="273" t="n"/>
      <c r="O194" s="274" t="n"/>
    </row>
    <row r="195" ht="14.25" customHeight="1">
      <c r="B195" s="271" t="n"/>
      <c r="C195" s="275" t="n"/>
      <c r="I195" s="276" t="n"/>
      <c r="J195" s="275" t="n"/>
      <c r="O195" s="276" t="n"/>
    </row>
    <row r="196" ht="14.25" customHeight="1" thickBot="1">
      <c r="B196" s="277" t="n"/>
      <c r="C196" s="278" t="n"/>
      <c r="D196" s="250" t="n"/>
      <c r="E196" s="250" t="n"/>
      <c r="F196" s="250" t="n"/>
      <c r="G196" s="250" t="n"/>
      <c r="H196" s="250" t="n"/>
      <c r="I196" s="240" t="n"/>
      <c r="J196" s="278" t="n"/>
      <c r="K196" s="250" t="n"/>
      <c r="L196" s="250" t="n"/>
      <c r="M196" s="250" t="n"/>
      <c r="N196" s="250" t="n"/>
      <c r="O196" s="240" t="n"/>
    </row>
    <row r="214" ht="10.8" customHeight="1" thickBot="1"/>
    <row r="215" ht="87" customHeight="1">
      <c r="B215" s="213" t="n"/>
      <c r="C215" s="214" t="n"/>
      <c r="D215" s="214" t="n"/>
      <c r="E215" s="215" t="n"/>
      <c r="F215" s="97" t="inlineStr">
        <is>
          <t>GÜNLÜK FAALİYET RAPORU
02780-BGC-SGM-XXX-XXX-DPR-IPY-100001</t>
        </is>
      </c>
      <c r="G215" s="214" t="n"/>
      <c r="H215" s="214" t="n"/>
      <c r="I215" s="214" t="n"/>
      <c r="J215" s="214" t="n"/>
      <c r="K215" s="215" t="n"/>
      <c r="L215" s="99" t="inlineStr">
        <is>
          <t>LOGO</t>
        </is>
      </c>
      <c r="M215" s="214" t="n"/>
      <c r="N215" s="214" t="n"/>
      <c r="O215" s="216" t="n"/>
      <c r="U215" s="2" t="n"/>
    </row>
    <row r="216" ht="37.5" customHeight="1">
      <c r="B216" s="217" t="inlineStr">
        <is>
          <t>İŞVEREN</t>
        </is>
      </c>
      <c r="C216" s="218" t="n"/>
      <c r="D216" s="218" t="n"/>
      <c r="E216" s="219" t="n"/>
      <c r="F216" s="198" t="inlineStr">
        <is>
          <t>ANA YÜKLENİCİ</t>
        </is>
      </c>
      <c r="G216" s="219" t="n"/>
      <c r="H216" s="199" t="n"/>
      <c r="I216" s="219" t="n"/>
      <c r="J216" s="200" t="inlineStr">
        <is>
          <t>TARİH</t>
        </is>
      </c>
      <c r="K216" s="218" t="n"/>
      <c r="L216" s="219" t="n"/>
      <c r="M216" s="203" t="inlineStr">
        <is>
          <t>XX.0X.2026</t>
        </is>
      </c>
      <c r="N216" s="218" t="n"/>
      <c r="O216" s="220" t="n"/>
    </row>
    <row r="217" ht="30.75" customHeight="1">
      <c r="B217" s="204" t="inlineStr">
        <is>
          <t>Halk Gayrimenkul Yatırım Ortaklığı A.Ş.</t>
        </is>
      </c>
      <c r="C217" s="218" t="n"/>
      <c r="D217" s="218" t="n"/>
      <c r="E217" s="219" t="n"/>
      <c r="F217" s="205" t="inlineStr">
        <is>
          <t>-</t>
        </is>
      </c>
      <c r="G217" s="219" t="n"/>
      <c r="H217" s="207" t="n"/>
      <c r="I217" s="219" t="n"/>
      <c r="J217" s="201" t="inlineStr">
        <is>
          <t>HAVA DURUMU</t>
        </is>
      </c>
      <c r="K217" s="218" t="n"/>
      <c r="L217" s="219" t="n"/>
      <c r="M217" s="221" t="inlineStr">
        <is>
          <t>Açık / 25°C</t>
        </is>
      </c>
      <c r="N217" s="218" t="n"/>
      <c r="O217" s="220" t="n"/>
    </row>
    <row r="218" ht="34.5" customHeight="1" thickBot="1">
      <c r="B218" s="170" t="inlineStr">
        <is>
          <t>HALK GYO ASM BAĞCILAR PROJESİ</t>
        </is>
      </c>
      <c r="C218" s="222" t="n"/>
      <c r="D218" s="222" t="n"/>
      <c r="E218" s="222" t="n"/>
      <c r="F218" s="222" t="n"/>
      <c r="G218" s="222" t="n"/>
      <c r="H218" s="222" t="n"/>
      <c r="I218" s="223" t="n"/>
      <c r="J218" s="224" t="inlineStr">
        <is>
          <t>İŞ BİTİM TARİHİ</t>
        </is>
      </c>
      <c r="K218" s="222" t="n"/>
      <c r="L218" s="223" t="n"/>
      <c r="M218" s="225" t="n"/>
      <c r="N218" s="222" t="n"/>
      <c r="O218" s="226" t="n"/>
    </row>
    <row r="219" ht="17.25" customHeight="1">
      <c r="B219" s="227" t="inlineStr">
        <is>
          <t>İŞVEREN / PROJE YÖNETİMİ</t>
        </is>
      </c>
      <c r="C219" s="228" t="n"/>
      <c r="D219" s="228" t="n"/>
      <c r="E219" s="229" t="n"/>
      <c r="F219" s="230" t="inlineStr">
        <is>
          <t>Kümülatif</t>
        </is>
      </c>
      <c r="G219" s="231" t="inlineStr">
        <is>
          <t>YÜKLENİCİ FİRMA
Teknik Kadro Dahil</t>
        </is>
      </c>
      <c r="H219" s="228" t="n"/>
      <c r="I219" s="228" t="n"/>
      <c r="J219" s="232" t="inlineStr">
        <is>
          <t>Kümülatif</t>
        </is>
      </c>
      <c r="K219" s="187" t="inlineStr">
        <is>
          <t>İŞ MAKİNALARI</t>
        </is>
      </c>
      <c r="L219" s="229" t="n"/>
      <c r="M219" s="191" t="inlineStr">
        <is>
          <t>Giriş Tarihi</t>
        </is>
      </c>
      <c r="N219" s="191" t="inlineStr">
        <is>
          <t>Çıkış Tarihi</t>
        </is>
      </c>
      <c r="O219" s="233" t="inlineStr">
        <is>
          <t>Puantaj (Saat)</t>
        </is>
      </c>
    </row>
    <row r="220" ht="17.25" customHeight="1" thickBot="1">
      <c r="B220" s="234" t="n"/>
      <c r="C220" s="235" t="n"/>
      <c r="D220" s="235" t="n"/>
      <c r="E220" s="236" t="n"/>
      <c r="F220" s="237" t="n"/>
      <c r="G220" s="234" t="n"/>
      <c r="H220" s="235" t="n"/>
      <c r="I220" s="235" t="n"/>
      <c r="J220" s="238" t="n"/>
      <c r="K220" s="239" t="n"/>
      <c r="L220" s="240" t="n"/>
      <c r="M220" s="241" t="n"/>
      <c r="N220" s="241" t="n"/>
      <c r="O220" s="237" t="n"/>
    </row>
    <row r="221" ht="22.5" customHeight="1">
      <c r="B221" s="242" t="inlineStr">
        <is>
          <t>Proje Müdürü Saha-PY</t>
        </is>
      </c>
      <c r="C221" s="240" t="n"/>
      <c r="D221" s="3" t="n">
        <v>0</v>
      </c>
      <c r="E221" s="4" t="n"/>
      <c r="F221" s="5">
        <f>D221</f>
        <v/>
      </c>
      <c r="G221" s="6" t="inlineStr">
        <is>
          <t>Şantiye Şefi-Mukas</t>
        </is>
      </c>
      <c r="H221" s="7" t="n">
        <v>0</v>
      </c>
      <c r="I221" s="8" t="n"/>
      <c r="J221" s="5">
        <f>H221</f>
        <v/>
      </c>
      <c r="K221" s="162" t="inlineStr">
        <is>
          <t>JCB</t>
        </is>
      </c>
      <c r="L221" s="219" t="n"/>
      <c r="M221" s="9" t="n"/>
      <c r="N221" s="9" t="n"/>
      <c r="O221" s="10" t="n">
        <v>0</v>
      </c>
    </row>
    <row r="222" ht="26.25" customHeight="1">
      <c r="B222" s="242" t="inlineStr">
        <is>
          <t>Proje Müdürü Merkez-PY</t>
        </is>
      </c>
      <c r="C222" s="240" t="n"/>
      <c r="D222" s="3" t="n">
        <v>0</v>
      </c>
      <c r="E222" s="11" t="n"/>
      <c r="F222" s="5">
        <f>D222</f>
        <v/>
      </c>
      <c r="G222" s="6" t="inlineStr">
        <is>
          <t>İnşaat Mühendisi</t>
        </is>
      </c>
      <c r="H222" s="7" t="n">
        <v>0</v>
      </c>
      <c r="I222" s="12" t="n"/>
      <c r="J222" s="5">
        <f>H222</f>
        <v/>
      </c>
      <c r="K222" s="162" t="inlineStr">
        <is>
          <t>Fore Kazık Makinası</t>
        </is>
      </c>
      <c r="L222" s="219" t="n"/>
      <c r="M222" s="9" t="n"/>
      <c r="N222" s="9" t="n"/>
      <c r="O222" s="10" t="n">
        <v>0</v>
      </c>
    </row>
    <row r="223" ht="24.75" customHeight="1">
      <c r="B223" s="6" t="inlineStr">
        <is>
          <t>Proje Koordinatörü-PY</t>
        </is>
      </c>
      <c r="C223" s="219" t="n"/>
      <c r="D223" s="3" t="n">
        <v>0</v>
      </c>
      <c r="E223" s="11" t="n"/>
      <c r="F223" s="5">
        <f>D223</f>
        <v/>
      </c>
      <c r="G223" s="6" t="inlineStr">
        <is>
          <t>Elektrik Mühendisi</t>
        </is>
      </c>
      <c r="H223" s="7" t="n">
        <v>0</v>
      </c>
      <c r="I223" s="12" t="n"/>
      <c r="J223" s="5">
        <f>H223</f>
        <v/>
      </c>
      <c r="K223" s="162" t="inlineStr">
        <is>
          <t>Beton Pompası</t>
        </is>
      </c>
      <c r="L223" s="219" t="n"/>
      <c r="M223" s="9" t="n"/>
      <c r="N223" s="9" t="n"/>
      <c r="O223" s="10" t="n">
        <v>0</v>
      </c>
    </row>
    <row r="224" ht="23.25" customHeight="1">
      <c r="B224" s="162" t="inlineStr">
        <is>
          <t>Proje Müdürü Mimar-PY</t>
        </is>
      </c>
      <c r="C224" s="219" t="n"/>
      <c r="D224" s="3" t="n">
        <v>0</v>
      </c>
      <c r="E224" s="11" t="n"/>
      <c r="F224" s="5">
        <f>D224</f>
        <v/>
      </c>
      <c r="G224" s="6" t="inlineStr">
        <is>
          <t>Makine Mühendisi</t>
        </is>
      </c>
      <c r="H224" s="7" t="n">
        <v>0</v>
      </c>
      <c r="I224" s="12" t="n"/>
      <c r="J224" s="5">
        <f>H224</f>
        <v/>
      </c>
      <c r="K224" s="162" t="inlineStr">
        <is>
          <t>Ekskavatör</t>
        </is>
      </c>
      <c r="L224" s="219" t="n"/>
      <c r="M224" s="9" t="n"/>
      <c r="N224" s="9" t="n"/>
      <c r="O224" s="10" t="n">
        <v>0</v>
      </c>
    </row>
    <row r="225" ht="26.25" customHeight="1">
      <c r="B225" s="162" t="inlineStr">
        <is>
          <t>Proje Elektrik Yüksek Mühendisi-PY</t>
        </is>
      </c>
      <c r="C225" s="219" t="n"/>
      <c r="D225" s="3" t="n">
        <v>0</v>
      </c>
      <c r="E225" s="11" t="n"/>
      <c r="F225" s="5">
        <f>D225</f>
        <v/>
      </c>
      <c r="G225" s="6" t="inlineStr">
        <is>
          <t>Formen</t>
        </is>
      </c>
      <c r="H225" s="7" t="n">
        <v>0</v>
      </c>
      <c r="I225" s="12" t="n"/>
      <c r="J225" s="5">
        <f>H225</f>
        <v/>
      </c>
      <c r="K225" s="162" t="inlineStr">
        <is>
          <t>Kamyon</t>
        </is>
      </c>
      <c r="L225" s="219" t="n"/>
      <c r="M225" s="9" t="n"/>
      <c r="N225" s="9" t="n"/>
      <c r="O225" s="10" t="n">
        <v>0</v>
      </c>
    </row>
    <row r="226" ht="26.25" customHeight="1">
      <c r="B226" s="162" t="inlineStr">
        <is>
          <t>Proje Müdürü Makine Mühendisi-PY</t>
        </is>
      </c>
      <c r="C226" s="219" t="n"/>
      <c r="D226" s="3" t="n">
        <v>0</v>
      </c>
      <c r="E226" s="11" t="n"/>
      <c r="F226" s="5">
        <f>D226</f>
        <v/>
      </c>
      <c r="G226" s="6" t="inlineStr">
        <is>
          <t>İş Güvenliği Uzmanı</t>
        </is>
      </c>
      <c r="H226" s="7" t="n">
        <v>0</v>
      </c>
      <c r="I226" s="12" t="n"/>
      <c r="J226" s="5">
        <f>H226</f>
        <v/>
      </c>
      <c r="K226" s="162" t="inlineStr">
        <is>
          <t>Kırıcılı Ekskavatör</t>
        </is>
      </c>
      <c r="L226" s="219" t="n"/>
      <c r="M226" s="9" t="n"/>
      <c r="N226" s="9" t="n"/>
      <c r="O226" s="10" t="n">
        <v>0</v>
      </c>
    </row>
    <row r="227" ht="26.25" customHeight="1">
      <c r="B227" s="162" t="n"/>
      <c r="C227" s="219" t="n"/>
      <c r="D227" s="3" t="n"/>
      <c r="E227" s="11" t="n"/>
      <c r="F227" s="5" t="n"/>
      <c r="G227" s="6" t="inlineStr">
        <is>
          <t>Saha İşçisi</t>
        </is>
      </c>
      <c r="H227" s="7" t="n">
        <v>0</v>
      </c>
      <c r="I227" s="12" t="n"/>
      <c r="J227" s="5">
        <f>H227</f>
        <v/>
      </c>
      <c r="K227" s="162" t="inlineStr">
        <is>
          <t>Vinç</t>
        </is>
      </c>
      <c r="L227" s="219" t="n"/>
      <c r="M227" s="9" t="n"/>
      <c r="N227" s="9" t="n"/>
      <c r="O227" s="10" t="n">
        <v>0</v>
      </c>
    </row>
    <row r="228" ht="26.25" customHeight="1">
      <c r="B228" s="162" t="n"/>
      <c r="C228" s="219" t="n"/>
      <c r="D228" s="3" t="n"/>
      <c r="E228" s="11" t="n"/>
      <c r="F228" s="5" t="n"/>
      <c r="G228" s="6" t="inlineStr">
        <is>
          <t>Topoğraf</t>
        </is>
      </c>
      <c r="H228" s="7" t="n">
        <v>0</v>
      </c>
      <c r="I228" s="12" t="n"/>
      <c r="J228" s="5">
        <f>H228</f>
        <v/>
      </c>
      <c r="K228" s="162" t="inlineStr">
        <is>
          <t>Silindir</t>
        </is>
      </c>
      <c r="L228" s="219" t="n"/>
      <c r="M228" s="9" t="n"/>
      <c r="N228" s="9" t="n"/>
      <c r="O228" s="10" t="n">
        <v>0</v>
      </c>
    </row>
    <row r="229" ht="26.25" customHeight="1">
      <c r="B229" s="162" t="n"/>
      <c r="C229" s="219" t="n"/>
      <c r="D229" s="3" t="n"/>
      <c r="E229" s="11" t="n"/>
      <c r="F229" s="5" t="n"/>
      <c r="G229" s="6" t="n"/>
      <c r="H229" s="7" t="n"/>
      <c r="I229" s="12" t="n"/>
      <c r="J229" s="13" t="n"/>
      <c r="K229" s="162" t="n"/>
      <c r="L229" s="219" t="n"/>
      <c r="M229" s="9" t="n"/>
      <c r="N229" s="9" t="n"/>
      <c r="O229" s="10" t="n"/>
    </row>
    <row r="230" ht="26.25" customHeight="1">
      <c r="B230" s="243" t="n"/>
      <c r="C230" s="219" t="n"/>
      <c r="D230" s="14" t="n"/>
      <c r="E230" s="11" t="n"/>
      <c r="F230" s="5" t="n"/>
      <c r="G230" s="6" t="n"/>
      <c r="H230" s="15" t="n"/>
      <c r="I230" s="12" t="n"/>
      <c r="J230" s="13" t="n"/>
      <c r="K230" s="244" t="inlineStr">
        <is>
          <t xml:space="preserve"> Toplam</t>
        </is>
      </c>
      <c r="L230" s="218" t="n"/>
      <c r="M230" s="218" t="n"/>
      <c r="N230" s="219" t="n"/>
      <c r="O230" s="16">
        <f>SUM(O221:O229)</f>
        <v/>
      </c>
    </row>
    <row r="231" ht="26.25" customHeight="1">
      <c r="B231" s="243" t="n"/>
      <c r="C231" s="219" t="n"/>
      <c r="D231" s="14" t="n"/>
      <c r="E231" s="11" t="n"/>
      <c r="F231" s="5" t="n"/>
      <c r="G231" s="6" t="n"/>
      <c r="H231" s="15" t="n"/>
      <c r="I231" s="12" t="n"/>
      <c r="J231" s="13" t="n"/>
      <c r="K231" s="245" t="inlineStr">
        <is>
          <t>GÜNLÜK GELEN MALZEME LİSTESİ</t>
        </is>
      </c>
      <c r="L231" s="218" t="n"/>
      <c r="M231" s="218" t="n"/>
      <c r="N231" s="218" t="n"/>
      <c r="O231" s="220" t="n"/>
    </row>
    <row r="232" ht="26.25" customHeight="1">
      <c r="A232" s="1" t="inlineStr">
        <is>
          <t xml:space="preserve"> </t>
        </is>
      </c>
      <c r="B232" s="243" t="n"/>
      <c r="C232" s="219" t="n"/>
      <c r="D232" s="3" t="n"/>
      <c r="E232" s="17" t="n"/>
      <c r="F232" s="5" t="n"/>
      <c r="G232" s="6" t="n"/>
      <c r="H232" s="15" t="n"/>
      <c r="I232" s="18" t="n"/>
      <c r="J232" s="13" t="n"/>
      <c r="K232" s="246" t="n"/>
      <c r="L232" s="218" t="n"/>
      <c r="M232" s="219" t="n"/>
      <c r="N232" s="16" t="n"/>
      <c r="O232" s="220" t="n"/>
    </row>
    <row r="233" ht="26.25" customHeight="1">
      <c r="B233" s="243" t="n"/>
      <c r="C233" s="219" t="n"/>
      <c r="D233" s="3" t="n"/>
      <c r="E233" s="17" t="n"/>
      <c r="F233" s="5" t="n"/>
      <c r="G233" s="6" t="n"/>
      <c r="H233" s="15" t="n"/>
      <c r="I233" s="18" t="n"/>
      <c r="J233" s="13" t="n"/>
      <c r="K233" s="246" t="n"/>
      <c r="L233" s="218" t="n"/>
      <c r="M233" s="219" t="n"/>
      <c r="N233" s="16" t="n"/>
      <c r="O233" s="220" t="n"/>
    </row>
    <row r="234" ht="26.25" customHeight="1">
      <c r="B234" s="21" t="n"/>
      <c r="C234" s="219" t="n"/>
      <c r="D234" s="19" t="n"/>
      <c r="E234" s="20" t="n"/>
      <c r="F234" s="5" t="n"/>
      <c r="G234" s="21" t="n"/>
      <c r="H234" s="22" t="n"/>
      <c r="I234" s="23" t="n"/>
      <c r="J234" s="13" t="n"/>
      <c r="K234" s="246" t="n"/>
      <c r="L234" s="218" t="n"/>
      <c r="M234" s="219" t="n"/>
      <c r="N234" s="247" t="n"/>
      <c r="O234" s="220" t="n"/>
    </row>
    <row r="235" ht="27" customHeight="1">
      <c r="B235" s="27" t="inlineStr">
        <is>
          <t>Toplam</t>
        </is>
      </c>
      <c r="C235" s="219" t="n"/>
      <c r="D235" s="24">
        <f>SUM(D221:D234)</f>
        <v/>
      </c>
      <c r="E235" s="25" t="inlineStr">
        <is>
          <t>G. Toplam</t>
        </is>
      </c>
      <c r="F235" s="58">
        <f>SUM(F221:F234)</f>
        <v/>
      </c>
      <c r="G235" s="27" t="inlineStr">
        <is>
          <t>Toplam</t>
        </is>
      </c>
      <c r="H235" s="28">
        <f>SUM(H221:H234)</f>
        <v/>
      </c>
      <c r="I235" s="29" t="inlineStr">
        <is>
          <t>G. Toplam</t>
        </is>
      </c>
      <c r="J235" s="26">
        <f>SUM(J221:J234)</f>
        <v/>
      </c>
      <c r="K235" s="246" t="n"/>
      <c r="L235" s="218" t="n"/>
      <c r="M235" s="219" t="n"/>
      <c r="N235" s="247" t="n"/>
      <c r="O235" s="220" t="n"/>
    </row>
    <row r="236" ht="27" customHeight="1" thickBot="1">
      <c r="B236" s="143" t="inlineStr">
        <is>
          <t>GENEL TOPLAM</t>
        </is>
      </c>
      <c r="C236" s="222" t="n"/>
      <c r="D236" s="222" t="n"/>
      <c r="E236" s="222" t="n"/>
      <c r="F236" s="222" t="n"/>
      <c r="G236" s="222" t="n"/>
      <c r="H236" s="222" t="n"/>
      <c r="I236" s="222" t="n"/>
      <c r="J236" s="30">
        <f>F235+J235</f>
        <v/>
      </c>
      <c r="K236" s="246" t="n"/>
      <c r="L236" s="218" t="n"/>
      <c r="M236" s="219" t="n"/>
      <c r="N236" s="247" t="n"/>
      <c r="O236" s="220" t="n"/>
    </row>
    <row r="237" ht="12.6" customHeight="1">
      <c r="B237" s="248" t="inlineStr">
        <is>
          <t>ALTYÜKLENİCİ EKİPLERİ PUANTAJI</t>
        </is>
      </c>
      <c r="C237" s="228" t="n"/>
      <c r="D237" s="228" t="n"/>
      <c r="E237" s="228" t="n"/>
      <c r="F237" s="228" t="n"/>
      <c r="G237" s="228" t="n"/>
      <c r="H237" s="228" t="n"/>
      <c r="I237" s="228" t="n"/>
      <c r="J237" s="228" t="n"/>
      <c r="K237" s="228" t="n"/>
      <c r="L237" s="228" t="n"/>
      <c r="M237" s="228" t="n"/>
      <c r="N237" s="228" t="n"/>
      <c r="O237" s="249" t="n"/>
    </row>
    <row r="238" ht="8.4" customHeight="1">
      <c r="B238" s="239" t="n"/>
      <c r="C238" s="250" t="n"/>
      <c r="D238" s="250" t="n"/>
      <c r="E238" s="250" t="n"/>
      <c r="F238" s="250" t="n"/>
      <c r="G238" s="250" t="n"/>
      <c r="H238" s="250" t="n"/>
      <c r="I238" s="250" t="n"/>
      <c r="J238" s="250" t="n"/>
      <c r="K238" s="250" t="n"/>
      <c r="L238" s="250" t="n"/>
      <c r="M238" s="250" t="n"/>
      <c r="N238" s="250" t="n"/>
      <c r="O238" s="251" t="n"/>
    </row>
    <row r="239" ht="22.5" customHeight="1">
      <c r="B239" s="127" t="inlineStr">
        <is>
          <t>KABA İNŞAAT EKİBİ</t>
        </is>
      </c>
      <c r="C239" s="218" t="n"/>
      <c r="D239" s="218" t="n"/>
      <c r="E239" s="219" t="n"/>
      <c r="F239" s="129" t="inlineStr">
        <is>
          <t>EKİP</t>
        </is>
      </c>
      <c r="G239" s="218" t="n"/>
      <c r="H239" s="218" t="n"/>
      <c r="I239" s="219" t="n"/>
      <c r="J239" s="133" t="inlineStr">
        <is>
          <t>HAFRİYAT EKİBİ</t>
        </is>
      </c>
      <c r="K239" s="218" t="n"/>
      <c r="L239" s="219" t="n"/>
      <c r="M239" s="134" t="inlineStr">
        <is>
          <t>İZOLASYON EKİBİ</t>
        </is>
      </c>
      <c r="N239" s="218" t="n"/>
      <c r="O239" s="219" t="n"/>
    </row>
    <row r="240" ht="26.25" customHeight="1">
      <c r="B240" s="127" t="inlineStr">
        <is>
          <t>PERSONEL</t>
        </is>
      </c>
      <c r="C240" s="219" t="n"/>
      <c r="D240" s="34" t="inlineStr">
        <is>
          <t>PUANTAJ</t>
        </is>
      </c>
      <c r="E240" s="128" t="inlineStr">
        <is>
          <t>KÜMÜLATİF PUANTAJ</t>
        </is>
      </c>
      <c r="F240" s="129" t="inlineStr">
        <is>
          <t>PERSONEL</t>
        </is>
      </c>
      <c r="G240" s="219" t="n"/>
      <c r="H240" s="35" t="inlineStr">
        <is>
          <t>PUANTAJ</t>
        </is>
      </c>
      <c r="I240" s="129" t="inlineStr">
        <is>
          <t>KÜMÜLATİF PUANTAJ</t>
        </is>
      </c>
      <c r="J240" s="133" t="inlineStr">
        <is>
          <t>PERSONEL</t>
        </is>
      </c>
      <c r="K240" s="34" t="inlineStr">
        <is>
          <t>PUANTAJ</t>
        </is>
      </c>
      <c r="L240" s="128" t="inlineStr">
        <is>
          <t>KÜMÜLATİF PUANTAJ</t>
        </is>
      </c>
      <c r="M240" s="36" t="inlineStr">
        <is>
          <t>PERSONEL</t>
        </is>
      </c>
      <c r="N240" s="35" t="inlineStr">
        <is>
          <t>PUANTAJ</t>
        </is>
      </c>
      <c r="O240" s="37" t="inlineStr">
        <is>
          <t>KÜMÜLATİF PUANTAJ</t>
        </is>
      </c>
    </row>
    <row r="241" ht="21" customFormat="1" customHeight="1" s="38">
      <c r="B241" s="107" t="inlineStr">
        <is>
          <t>Saha Mühendisi</t>
        </is>
      </c>
      <c r="C241" s="219" t="n"/>
      <c r="D241" s="39" t="n">
        <v>0</v>
      </c>
      <c r="E241" s="40">
        <f>D241</f>
        <v/>
      </c>
      <c r="F241" s="109" t="inlineStr">
        <is>
          <t>Saha Mühendisi</t>
        </is>
      </c>
      <c r="G241" s="219" t="n"/>
      <c r="H241" s="15" t="n">
        <v>0</v>
      </c>
      <c r="I241" s="41">
        <f>H241</f>
        <v/>
      </c>
      <c r="J241" s="42" t="inlineStr">
        <is>
          <t>Saha Mühendisi</t>
        </is>
      </c>
      <c r="K241" s="39" t="n">
        <v>0</v>
      </c>
      <c r="L241" s="40">
        <f>K241</f>
        <v/>
      </c>
      <c r="M241" s="43" t="inlineStr">
        <is>
          <t>Saha Mühendisi</t>
        </is>
      </c>
      <c r="N241" s="15" t="n">
        <v>0</v>
      </c>
      <c r="O241" s="10">
        <f>N241</f>
        <v/>
      </c>
    </row>
    <row r="242" ht="21" customFormat="1" customHeight="1" s="38">
      <c r="B242" s="107" t="inlineStr">
        <is>
          <t>Kalfa (Formen)</t>
        </is>
      </c>
      <c r="C242" s="219" t="n"/>
      <c r="D242" s="39" t="n">
        <v>0</v>
      </c>
      <c r="E242" s="40">
        <f>D242</f>
        <v/>
      </c>
      <c r="F242" s="109" t="inlineStr">
        <is>
          <t>Kalfa</t>
        </is>
      </c>
      <c r="G242" s="219" t="n"/>
      <c r="H242" s="15" t="n">
        <v>0</v>
      </c>
      <c r="I242" s="41">
        <f>H242</f>
        <v/>
      </c>
      <c r="J242" s="42" t="inlineStr">
        <is>
          <t>Kalfa</t>
        </is>
      </c>
      <c r="K242" s="39" t="n">
        <v>0</v>
      </c>
      <c r="L242" s="40">
        <f>K242</f>
        <v/>
      </c>
      <c r="M242" s="43" t="inlineStr">
        <is>
          <t>Kalfa</t>
        </is>
      </c>
      <c r="N242" s="15" t="n">
        <v>0</v>
      </c>
      <c r="O242" s="10">
        <f>N242</f>
        <v/>
      </c>
    </row>
    <row r="243" ht="21" customFormat="1" customHeight="1" s="38">
      <c r="B243" s="107" t="inlineStr">
        <is>
          <t>Usta ( Kalıpçı)</t>
        </is>
      </c>
      <c r="C243" s="219" t="n"/>
      <c r="D243" s="39" t="n">
        <v>0</v>
      </c>
      <c r="E243" s="40">
        <f>D243</f>
        <v/>
      </c>
      <c r="F243" s="109" t="inlineStr">
        <is>
          <t>Usta</t>
        </is>
      </c>
      <c r="G243" s="219" t="n"/>
      <c r="H243" s="15" t="n">
        <v>0</v>
      </c>
      <c r="I243" s="41">
        <f>H243</f>
        <v/>
      </c>
      <c r="J243" s="42" t="inlineStr">
        <is>
          <t>Topograf</t>
        </is>
      </c>
      <c r="K243" s="39" t="n">
        <v>0</v>
      </c>
      <c r="L243" s="40">
        <f>K243</f>
        <v/>
      </c>
      <c r="M243" s="43" t="inlineStr">
        <is>
          <t xml:space="preserve">Usta </t>
        </is>
      </c>
      <c r="N243" s="15" t="n">
        <v>0</v>
      </c>
      <c r="O243" s="10">
        <f>N243</f>
        <v/>
      </c>
    </row>
    <row r="244" ht="21" customFormat="1" customHeight="1" s="38">
      <c r="B244" s="107" t="inlineStr">
        <is>
          <t>Usta ( Demirci)</t>
        </is>
      </c>
      <c r="C244" s="219" t="n"/>
      <c r="D244" s="39" t="n">
        <v>0</v>
      </c>
      <c r="E244" s="40">
        <f>D244</f>
        <v/>
      </c>
      <c r="F244" s="109" t="inlineStr">
        <is>
          <t>Beden İşçisi</t>
        </is>
      </c>
      <c r="G244" s="219" t="n"/>
      <c r="H244" s="15" t="n">
        <v>0</v>
      </c>
      <c r="I244" s="41">
        <f>H244</f>
        <v/>
      </c>
      <c r="J244" s="42" t="inlineStr">
        <is>
          <t>Beden İşçisi</t>
        </is>
      </c>
      <c r="K244" s="39" t="n">
        <v>0</v>
      </c>
      <c r="L244" s="40">
        <f>K244</f>
        <v/>
      </c>
      <c r="M244" s="43" t="inlineStr">
        <is>
          <t>Beden İşçisi</t>
        </is>
      </c>
      <c r="N244" s="15" t="n">
        <v>0</v>
      </c>
      <c r="O244" s="10">
        <f>N244</f>
        <v/>
      </c>
    </row>
    <row r="245" ht="21" customFormat="1" customHeight="1" s="38">
      <c r="B245" s="107" t="inlineStr">
        <is>
          <t>Beden İşçisi</t>
        </is>
      </c>
      <c r="C245" s="219" t="n"/>
      <c r="D245" s="39" t="n">
        <v>0</v>
      </c>
      <c r="E245" s="40">
        <f>D245</f>
        <v/>
      </c>
      <c r="F245" s="109" t="inlineStr">
        <is>
          <t>İş. Mak. Opr.</t>
        </is>
      </c>
      <c r="G245" s="219" t="n"/>
      <c r="H245" s="15" t="n">
        <v>0</v>
      </c>
      <c r="I245" s="41">
        <f>H245</f>
        <v/>
      </c>
      <c r="J245" s="42" t="inlineStr">
        <is>
          <t>İş. Mak. Opr. (Eks.)</t>
        </is>
      </c>
      <c r="K245" s="39" t="n">
        <v>0</v>
      </c>
      <c r="L245" s="40">
        <f>K245</f>
        <v/>
      </c>
      <c r="M245" s="43" t="n"/>
      <c r="N245" s="15" t="n"/>
      <c r="O245" s="10" t="n"/>
    </row>
    <row r="246" ht="21" customFormat="1" customHeight="1" s="38">
      <c r="B246" s="107" t="inlineStr">
        <is>
          <t>İş. Mak. Opr.</t>
        </is>
      </c>
      <c r="C246" s="219" t="n"/>
      <c r="D246" s="39" t="n">
        <v>0</v>
      </c>
      <c r="E246" s="40">
        <f>D246</f>
        <v/>
      </c>
      <c r="F246" s="109" t="inlineStr">
        <is>
          <t>Test Ekibi</t>
        </is>
      </c>
      <c r="G246" s="219" t="n"/>
      <c r="H246" s="15" t="n">
        <v>0</v>
      </c>
      <c r="I246" s="41">
        <f>H246</f>
        <v/>
      </c>
      <c r="J246" s="42" t="inlineStr">
        <is>
          <t>Şoför (Kamyon)</t>
        </is>
      </c>
      <c r="K246" s="39" t="n">
        <v>0</v>
      </c>
      <c r="L246" s="40">
        <f>K246</f>
        <v/>
      </c>
      <c r="M246" s="43" t="n"/>
      <c r="N246" s="15" t="n"/>
      <c r="O246" s="10" t="n"/>
    </row>
    <row r="247" ht="21" customHeight="1">
      <c r="B247" s="130" t="inlineStr">
        <is>
          <t>TOPLAMLAR</t>
        </is>
      </c>
      <c r="C247" s="219" t="n"/>
      <c r="D247" s="34">
        <f>SUM(D241:D246)</f>
        <v/>
      </c>
      <c r="E247" s="34">
        <f>SUM(E241:E246)</f>
        <v/>
      </c>
      <c r="F247" s="132" t="inlineStr">
        <is>
          <t>TOPLAMLAR</t>
        </is>
      </c>
      <c r="G247" s="219" t="n"/>
      <c r="H247" s="35">
        <f>SUM(H241:H246)</f>
        <v/>
      </c>
      <c r="I247" s="35">
        <f>SUM(I241:I246)</f>
        <v/>
      </c>
      <c r="J247" s="133" t="inlineStr">
        <is>
          <t>TOPLAMLAR</t>
        </is>
      </c>
      <c r="K247" s="34">
        <f>SUM(K241:K246)</f>
        <v/>
      </c>
      <c r="L247" s="34">
        <f>SUM(L241:L246)</f>
        <v/>
      </c>
      <c r="M247" s="36" t="inlineStr">
        <is>
          <t>TOPLAMLAR</t>
        </is>
      </c>
      <c r="N247" s="35">
        <f>SUM(N241:N246)</f>
        <v/>
      </c>
      <c r="O247" s="44">
        <f>SUM(O241:O246)</f>
        <v/>
      </c>
    </row>
    <row r="248" ht="10.95" customHeight="1">
      <c r="B248" s="252" t="n"/>
      <c r="C248" s="218" t="n"/>
      <c r="D248" s="218" t="n"/>
      <c r="E248" s="218" t="n"/>
      <c r="F248" s="218" t="n"/>
      <c r="G248" s="218" t="n"/>
      <c r="H248" s="218" t="n"/>
      <c r="I248" s="218" t="n"/>
      <c r="J248" s="218" t="n"/>
      <c r="K248" s="218" t="n"/>
      <c r="L248" s="218" t="n"/>
      <c r="M248" s="218" t="n"/>
      <c r="N248" s="218" t="n"/>
      <c r="O248" s="220" t="n"/>
    </row>
    <row r="249" ht="26.25" customHeight="1">
      <c r="B249" s="127" t="inlineStr">
        <is>
          <t>EKİP</t>
        </is>
      </c>
      <c r="C249" s="218" t="n"/>
      <c r="D249" s="218" t="n"/>
      <c r="E249" s="219" t="n"/>
      <c r="F249" s="129" t="inlineStr">
        <is>
          <t xml:space="preserve">CEPHE- ÇATI EKİBİ </t>
        </is>
      </c>
      <c r="G249" s="218" t="n"/>
      <c r="H249" s="218" t="n"/>
      <c r="I249" s="219" t="n"/>
      <c r="J249" s="133" t="inlineStr">
        <is>
          <t xml:space="preserve">MEKANİK EKİBİ </t>
        </is>
      </c>
      <c r="K249" s="218" t="n"/>
      <c r="L249" s="219" t="n"/>
      <c r="M249" s="134" t="inlineStr">
        <is>
          <t xml:space="preserve">ELEKTRİK EKİBİ </t>
        </is>
      </c>
      <c r="N249" s="218" t="n"/>
      <c r="O249" s="219" t="n"/>
    </row>
    <row r="250" ht="26.25" customHeight="1">
      <c r="B250" s="127" t="inlineStr">
        <is>
          <t>PERSONEL</t>
        </is>
      </c>
      <c r="C250" s="219" t="n"/>
      <c r="D250" s="34" t="inlineStr">
        <is>
          <t>PUANTAJ</t>
        </is>
      </c>
      <c r="E250" s="128" t="inlineStr">
        <is>
          <t>KÜMÜLATİF PUANTAJ</t>
        </is>
      </c>
      <c r="F250" s="129" t="inlineStr">
        <is>
          <t>PERSONEL</t>
        </is>
      </c>
      <c r="G250" s="219" t="n"/>
      <c r="H250" s="35" t="inlineStr">
        <is>
          <t>PUANTAJ</t>
        </is>
      </c>
      <c r="I250" s="129" t="inlineStr">
        <is>
          <t>KÜMÜLATİF PUANTAJ</t>
        </is>
      </c>
      <c r="J250" s="133" t="inlineStr">
        <is>
          <t>PERSONEL</t>
        </is>
      </c>
      <c r="K250" s="34" t="inlineStr">
        <is>
          <t>PUANTAJ</t>
        </is>
      </c>
      <c r="L250" s="128" t="inlineStr">
        <is>
          <t>KÜMÜLATİF PUANTAJ</t>
        </is>
      </c>
      <c r="M250" s="36" t="inlineStr">
        <is>
          <t>PERSONEL</t>
        </is>
      </c>
      <c r="N250" s="35" t="inlineStr">
        <is>
          <t>PUANTAJ</t>
        </is>
      </c>
      <c r="O250" s="37" t="inlineStr">
        <is>
          <t>KÜMÜLATİF PUANTAJ</t>
        </is>
      </c>
    </row>
    <row r="251" ht="21" customHeight="1">
      <c r="B251" s="107" t="inlineStr">
        <is>
          <t>Saha Mühendisi</t>
        </is>
      </c>
      <c r="C251" s="219" t="n"/>
      <c r="D251" s="39" t="n">
        <v>0</v>
      </c>
      <c r="E251" s="39">
        <f>D251</f>
        <v/>
      </c>
      <c r="F251" s="109" t="inlineStr">
        <is>
          <t>Saha Mühendisi</t>
        </is>
      </c>
      <c r="G251" s="219" t="n"/>
      <c r="H251" s="15" t="n">
        <v>0</v>
      </c>
      <c r="I251" s="15">
        <f>H251</f>
        <v/>
      </c>
      <c r="J251" s="42" t="inlineStr">
        <is>
          <t>Saha Mühendisi</t>
        </is>
      </c>
      <c r="K251" s="39" t="n">
        <v>0</v>
      </c>
      <c r="L251" s="39">
        <f>K251</f>
        <v/>
      </c>
      <c r="M251" s="43" t="inlineStr">
        <is>
          <t>Saha Mühendisi</t>
        </is>
      </c>
      <c r="N251" s="15" t="n">
        <v>0</v>
      </c>
      <c r="O251" s="10">
        <f>N251</f>
        <v/>
      </c>
    </row>
    <row r="252" ht="21" customHeight="1">
      <c r="B252" s="107" t="inlineStr">
        <is>
          <t>Kalfa</t>
        </is>
      </c>
      <c r="C252" s="219" t="n"/>
      <c r="D252" s="39" t="n">
        <v>0</v>
      </c>
      <c r="E252" s="39">
        <f>D252</f>
        <v/>
      </c>
      <c r="F252" s="109" t="inlineStr">
        <is>
          <t>Kalfa</t>
        </is>
      </c>
      <c r="G252" s="219" t="n"/>
      <c r="H252" s="15" t="n">
        <v>0</v>
      </c>
      <c r="I252" s="15">
        <f>H252</f>
        <v/>
      </c>
      <c r="J252" s="42" t="inlineStr">
        <is>
          <t>Kalfa</t>
        </is>
      </c>
      <c r="K252" s="39" t="n">
        <v>0</v>
      </c>
      <c r="L252" s="39">
        <f>K252</f>
        <v/>
      </c>
      <c r="M252" s="43" t="inlineStr">
        <is>
          <t>Kalfa</t>
        </is>
      </c>
      <c r="N252" s="15" t="n">
        <v>0</v>
      </c>
      <c r="O252" s="10">
        <f>N252</f>
        <v/>
      </c>
    </row>
    <row r="253" ht="21" customHeight="1">
      <c r="B253" s="107" t="inlineStr">
        <is>
          <t xml:space="preserve">Usta </t>
        </is>
      </c>
      <c r="C253" s="219" t="n"/>
      <c r="D253" s="39" t="n">
        <v>0</v>
      </c>
      <c r="E253" s="39">
        <f>D253</f>
        <v/>
      </c>
      <c r="F253" s="109" t="inlineStr">
        <is>
          <t xml:space="preserve">Usta </t>
        </is>
      </c>
      <c r="G253" s="219" t="n"/>
      <c r="H253" s="15" t="n">
        <v>0</v>
      </c>
      <c r="I253" s="15">
        <f>H253</f>
        <v/>
      </c>
      <c r="J253" s="42" t="inlineStr">
        <is>
          <t xml:space="preserve">Usta </t>
        </is>
      </c>
      <c r="K253" s="39" t="n">
        <v>0</v>
      </c>
      <c r="L253" s="39">
        <f>K253</f>
        <v/>
      </c>
      <c r="M253" s="43" t="inlineStr">
        <is>
          <t xml:space="preserve">Usta </t>
        </is>
      </c>
      <c r="N253" s="15" t="n">
        <v>0</v>
      </c>
      <c r="O253" s="10">
        <f>N253</f>
        <v/>
      </c>
    </row>
    <row r="254" ht="21" customHeight="1">
      <c r="B254" s="107" t="inlineStr">
        <is>
          <t>Beden İşçisi</t>
        </is>
      </c>
      <c r="C254" s="219" t="n"/>
      <c r="D254" s="39" t="n">
        <v>0</v>
      </c>
      <c r="E254" s="39">
        <f>D254</f>
        <v/>
      </c>
      <c r="F254" s="109" t="inlineStr">
        <is>
          <t>Beden İşçisi</t>
        </is>
      </c>
      <c r="G254" s="219" t="n"/>
      <c r="H254" s="15" t="n">
        <v>0</v>
      </c>
      <c r="I254" s="15">
        <f>H254</f>
        <v/>
      </c>
      <c r="J254" s="42" t="inlineStr">
        <is>
          <t>Beden İşçisi</t>
        </is>
      </c>
      <c r="K254" s="39" t="n">
        <v>0</v>
      </c>
      <c r="L254" s="39">
        <f>K254</f>
        <v/>
      </c>
      <c r="M254" s="43" t="inlineStr">
        <is>
          <t>Beden İşçisi</t>
        </is>
      </c>
      <c r="N254" s="15" t="n">
        <v>0</v>
      </c>
      <c r="O254" s="10">
        <f>N254</f>
        <v/>
      </c>
    </row>
    <row r="255" ht="21" customHeight="1">
      <c r="B255" s="107" t="inlineStr">
        <is>
          <t>İş. Mak. Opr.</t>
        </is>
      </c>
      <c r="C255" s="219" t="n"/>
      <c r="D255" s="39" t="n">
        <v>0</v>
      </c>
      <c r="E255" s="39">
        <f>D255</f>
        <v/>
      </c>
      <c r="F255" s="109" t="inlineStr">
        <is>
          <t>İş. Mak. Opr.</t>
        </is>
      </c>
      <c r="G255" s="219" t="n"/>
      <c r="H255" s="15" t="n">
        <v>0</v>
      </c>
      <c r="I255" s="15">
        <f>H255</f>
        <v/>
      </c>
      <c r="J255" s="42" t="inlineStr">
        <is>
          <t>İş. Mak. Opr.</t>
        </is>
      </c>
      <c r="K255" s="39" t="n">
        <v>0</v>
      </c>
      <c r="L255" s="39">
        <f>K255</f>
        <v/>
      </c>
      <c r="M255" s="43" t="inlineStr">
        <is>
          <t>İş. Mak. Opr.</t>
        </is>
      </c>
      <c r="N255" s="15" t="n">
        <v>0</v>
      </c>
      <c r="O255" s="10">
        <f>N255</f>
        <v/>
      </c>
    </row>
    <row r="256" ht="21" customFormat="1" customHeight="1" s="45">
      <c r="B256" s="130" t="inlineStr">
        <is>
          <t>TOPLAMLAR</t>
        </is>
      </c>
      <c r="C256" s="219" t="n"/>
      <c r="D256" s="34">
        <f>SUM(D250:D255)</f>
        <v/>
      </c>
      <c r="E256" s="34">
        <f>SUM(E251:E255)</f>
        <v/>
      </c>
      <c r="F256" s="132" t="inlineStr">
        <is>
          <t>TOPLAMLAR</t>
        </is>
      </c>
      <c r="G256" s="219" t="n"/>
      <c r="H256" s="35">
        <f>SUM(H250:H255)</f>
        <v/>
      </c>
      <c r="I256" s="35">
        <f>SUM(I251:I255)</f>
        <v/>
      </c>
      <c r="J256" s="133" t="inlineStr">
        <is>
          <t>TOPLAMLAR</t>
        </is>
      </c>
      <c r="K256" s="34">
        <f>SUM(K250:K255)</f>
        <v/>
      </c>
      <c r="L256" s="34">
        <f>SUM(L251:L255)</f>
        <v/>
      </c>
      <c r="M256" s="36" t="inlineStr">
        <is>
          <t>TOPLAMLAR</t>
        </is>
      </c>
      <c r="N256" s="35">
        <f>SUM(N250:N255)</f>
        <v/>
      </c>
      <c r="O256" s="44">
        <f>SUM(O251:O255)</f>
        <v/>
      </c>
    </row>
    <row r="257" ht="10.95" customHeight="1">
      <c r="B257" s="252" t="n"/>
      <c r="C257" s="218" t="n"/>
      <c r="D257" s="218" t="n"/>
      <c r="E257" s="218" t="n"/>
      <c r="F257" s="218" t="n"/>
      <c r="G257" s="218" t="n"/>
      <c r="H257" s="218" t="n"/>
      <c r="I257" s="218" t="n"/>
      <c r="J257" s="218" t="n"/>
      <c r="K257" s="218" t="n"/>
      <c r="L257" s="218" t="n"/>
      <c r="M257" s="218" t="n"/>
      <c r="N257" s="218" t="n"/>
      <c r="O257" s="220" t="n"/>
    </row>
    <row r="258" ht="26.25" customHeight="1">
      <c r="B258" s="127" t="inlineStr">
        <is>
          <t>EKİP</t>
        </is>
      </c>
      <c r="C258" s="218" t="n"/>
      <c r="D258" s="218" t="n"/>
      <c r="E258" s="219" t="n"/>
      <c r="F258" s="129" t="inlineStr">
        <is>
          <t>EKİP</t>
        </is>
      </c>
      <c r="G258" s="218" t="n"/>
      <c r="H258" s="218" t="n"/>
      <c r="I258" s="219" t="n"/>
      <c r="J258" s="133" t="inlineStr">
        <is>
          <t>EKİP</t>
        </is>
      </c>
      <c r="K258" s="218" t="n"/>
      <c r="L258" s="219" t="n"/>
      <c r="M258" s="133" t="inlineStr">
        <is>
          <t>EKİP</t>
        </is>
      </c>
      <c r="N258" s="218" t="n"/>
      <c r="O258" s="219" t="n"/>
    </row>
    <row r="259" ht="26.25" customHeight="1">
      <c r="B259" s="127" t="inlineStr">
        <is>
          <t>PERSONEL</t>
        </is>
      </c>
      <c r="C259" s="219" t="n"/>
      <c r="D259" s="34" t="inlineStr">
        <is>
          <t>PUANTAJ</t>
        </is>
      </c>
      <c r="E259" s="128" t="inlineStr">
        <is>
          <t>KÜMÜLATİF PUANTAJ</t>
        </is>
      </c>
      <c r="F259" s="129" t="inlineStr">
        <is>
          <t>PERSONEL</t>
        </is>
      </c>
      <c r="G259" s="219" t="n"/>
      <c r="H259" s="35" t="inlineStr">
        <is>
          <t>PUANTAJ</t>
        </is>
      </c>
      <c r="I259" s="129" t="inlineStr">
        <is>
          <t>KÜMÜLATİF PUANTAJ</t>
        </is>
      </c>
      <c r="J259" s="133" t="inlineStr">
        <is>
          <t>PERSONEL</t>
        </is>
      </c>
      <c r="K259" s="34" t="inlineStr">
        <is>
          <t>PUANTAJ</t>
        </is>
      </c>
      <c r="L259" s="128" t="inlineStr">
        <is>
          <t>KÜMÜLATİF PUANTAJ</t>
        </is>
      </c>
      <c r="M259" s="36" t="inlineStr">
        <is>
          <t>PERSONEL</t>
        </is>
      </c>
      <c r="N259" s="35" t="inlineStr">
        <is>
          <t>PUANTAJ</t>
        </is>
      </c>
      <c r="O259" s="37" t="inlineStr">
        <is>
          <t>KÜMÜLATİF PUANTAJ</t>
        </is>
      </c>
    </row>
    <row r="260" ht="22.2" customHeight="1">
      <c r="B260" s="107" t="inlineStr">
        <is>
          <t>Saha Mühendisi</t>
        </is>
      </c>
      <c r="C260" s="219" t="n"/>
      <c r="D260" s="39" t="n">
        <v>0</v>
      </c>
      <c r="E260" s="39">
        <f>D260</f>
        <v/>
      </c>
      <c r="F260" s="109" t="inlineStr">
        <is>
          <t>Saha Mühendisi</t>
        </is>
      </c>
      <c r="G260" s="219" t="n"/>
      <c r="H260" s="15" t="n">
        <v>0</v>
      </c>
      <c r="I260" s="15">
        <f>H260</f>
        <v/>
      </c>
      <c r="J260" s="42" t="inlineStr">
        <is>
          <t>Saha Mühendisi</t>
        </is>
      </c>
      <c r="K260" s="39" t="n">
        <v>0</v>
      </c>
      <c r="L260" s="39">
        <f>K260</f>
        <v/>
      </c>
      <c r="M260" s="43" t="inlineStr">
        <is>
          <t>Saha Mühendisi</t>
        </is>
      </c>
      <c r="N260" s="15" t="n">
        <v>0</v>
      </c>
      <c r="O260" s="10">
        <f>N260</f>
        <v/>
      </c>
    </row>
    <row r="261" ht="22.2" customHeight="1">
      <c r="B261" s="107" t="inlineStr">
        <is>
          <t>Kalfa</t>
        </is>
      </c>
      <c r="C261" s="219" t="n"/>
      <c r="D261" s="39" t="n">
        <v>0</v>
      </c>
      <c r="E261" s="39">
        <f>D261</f>
        <v/>
      </c>
      <c r="F261" s="109" t="inlineStr">
        <is>
          <t>Kalfa</t>
        </is>
      </c>
      <c r="G261" s="219" t="n"/>
      <c r="H261" s="15" t="n">
        <v>0</v>
      </c>
      <c r="I261" s="15">
        <f>H261</f>
        <v/>
      </c>
      <c r="J261" s="42" t="inlineStr">
        <is>
          <t>Kalfa</t>
        </is>
      </c>
      <c r="K261" s="39" t="n">
        <v>0</v>
      </c>
      <c r="L261" s="39">
        <f>K261</f>
        <v/>
      </c>
      <c r="M261" s="43" t="inlineStr">
        <is>
          <t>Kalfa</t>
        </is>
      </c>
      <c r="N261" s="15" t="n">
        <v>0</v>
      </c>
      <c r="O261" s="10">
        <f>N261</f>
        <v/>
      </c>
    </row>
    <row r="262" ht="22.2" customHeight="1">
      <c r="B262" s="107" t="inlineStr">
        <is>
          <t xml:space="preserve">Usta </t>
        </is>
      </c>
      <c r="C262" s="219" t="n"/>
      <c r="D262" s="39" t="n">
        <v>0</v>
      </c>
      <c r="E262" s="39">
        <f>D262</f>
        <v/>
      </c>
      <c r="F262" s="109" t="inlineStr">
        <is>
          <t xml:space="preserve">Usta </t>
        </is>
      </c>
      <c r="G262" s="219" t="n"/>
      <c r="H262" s="15" t="n">
        <v>0</v>
      </c>
      <c r="I262" s="15">
        <f>H262</f>
        <v/>
      </c>
      <c r="J262" s="42" t="inlineStr">
        <is>
          <t xml:space="preserve">Usta </t>
        </is>
      </c>
      <c r="K262" s="39" t="n">
        <v>0</v>
      </c>
      <c r="L262" s="39">
        <f>K262</f>
        <v/>
      </c>
      <c r="M262" s="43" t="inlineStr">
        <is>
          <t xml:space="preserve">Usta </t>
        </is>
      </c>
      <c r="N262" s="15" t="n">
        <v>0</v>
      </c>
      <c r="O262" s="10">
        <f>N262</f>
        <v/>
      </c>
    </row>
    <row r="263" ht="22.2" customHeight="1">
      <c r="B263" s="107" t="inlineStr">
        <is>
          <t>Beden İşçisi</t>
        </is>
      </c>
      <c r="C263" s="219" t="n"/>
      <c r="D263" s="39" t="n">
        <v>0</v>
      </c>
      <c r="E263" s="39">
        <f>D263</f>
        <v/>
      </c>
      <c r="F263" s="109" t="inlineStr">
        <is>
          <t>Beden İşçisi</t>
        </is>
      </c>
      <c r="G263" s="219" t="n"/>
      <c r="H263" s="15" t="n">
        <v>0</v>
      </c>
      <c r="I263" s="15">
        <f>H263</f>
        <v/>
      </c>
      <c r="J263" s="42" t="inlineStr">
        <is>
          <t>Beden İşçisi</t>
        </is>
      </c>
      <c r="K263" s="39" t="n">
        <v>0</v>
      </c>
      <c r="L263" s="39">
        <f>K263</f>
        <v/>
      </c>
      <c r="M263" s="43" t="inlineStr">
        <is>
          <t>Beden İşçisi</t>
        </is>
      </c>
      <c r="N263" s="15" t="n">
        <v>0</v>
      </c>
      <c r="O263" s="10">
        <f>N263</f>
        <v/>
      </c>
    </row>
    <row r="264" ht="22.2" customHeight="1">
      <c r="B264" s="107" t="inlineStr">
        <is>
          <t>İş. Mak. Opr.</t>
        </is>
      </c>
      <c r="C264" s="219" t="n"/>
      <c r="D264" s="39" t="n">
        <v>0</v>
      </c>
      <c r="E264" s="39">
        <f>D264</f>
        <v/>
      </c>
      <c r="F264" s="109" t="inlineStr">
        <is>
          <t>İş. Mak. Opr.</t>
        </is>
      </c>
      <c r="G264" s="219" t="n"/>
      <c r="H264" s="15" t="n">
        <v>0</v>
      </c>
      <c r="I264" s="15">
        <f>H264</f>
        <v/>
      </c>
      <c r="J264" s="42" t="inlineStr">
        <is>
          <t>İş. Mak. Opr.</t>
        </is>
      </c>
      <c r="K264" s="39" t="n">
        <v>0</v>
      </c>
      <c r="L264" s="39">
        <f>K264</f>
        <v/>
      </c>
      <c r="M264" s="43" t="inlineStr">
        <is>
          <t>İş. Mak. Opr.</t>
        </is>
      </c>
      <c r="N264" s="15" t="n">
        <v>0</v>
      </c>
      <c r="O264" s="10">
        <f>N264</f>
        <v/>
      </c>
    </row>
    <row r="265" ht="22.2" customFormat="1" customHeight="1" s="45">
      <c r="B265" s="130" t="inlineStr">
        <is>
          <t>TOPLAMLAR</t>
        </is>
      </c>
      <c r="C265" s="219" t="n"/>
      <c r="D265" s="34">
        <f>SUM(D259:D264)</f>
        <v/>
      </c>
      <c r="E265" s="34">
        <f>SUM(E260:E264)</f>
        <v/>
      </c>
      <c r="F265" s="132" t="inlineStr">
        <is>
          <t>TOPLAMLAR</t>
        </is>
      </c>
      <c r="G265" s="219" t="n"/>
      <c r="H265" s="35">
        <f>SUM(H259:H264)</f>
        <v/>
      </c>
      <c r="I265" s="35">
        <f>SUM(I260:I264)</f>
        <v/>
      </c>
      <c r="J265" s="133" t="inlineStr">
        <is>
          <t>TOPLAMLAR</t>
        </is>
      </c>
      <c r="K265" s="34">
        <f>SUM(K259:K264)</f>
        <v/>
      </c>
      <c r="L265" s="34">
        <f>SUM(L260:L264)</f>
        <v/>
      </c>
      <c r="M265" s="36" t="inlineStr">
        <is>
          <t>TOPLAMLAR</t>
        </is>
      </c>
      <c r="N265" s="35">
        <f>SUM(N259:N264)</f>
        <v/>
      </c>
      <c r="O265" s="44">
        <f>SUM(O260:O264)</f>
        <v/>
      </c>
    </row>
    <row r="266" ht="10.95" customHeight="1">
      <c r="B266" s="252" t="n"/>
      <c r="C266" s="218" t="n"/>
      <c r="D266" s="218" t="n"/>
      <c r="E266" s="218" t="n"/>
      <c r="F266" s="218" t="n"/>
      <c r="G266" s="218" t="n"/>
      <c r="H266" s="218" t="n"/>
      <c r="I266" s="218" t="n"/>
      <c r="J266" s="218" t="n"/>
      <c r="K266" s="218" t="n"/>
      <c r="L266" s="218" t="n"/>
      <c r="M266" s="218" t="n"/>
      <c r="N266" s="218" t="n"/>
      <c r="O266" s="220" t="n"/>
    </row>
    <row r="267" ht="27" customFormat="1" customHeight="1" s="46">
      <c r="B267" s="253" t="inlineStr">
        <is>
          <t>GÜNLÜK TOPLAM</t>
        </is>
      </c>
      <c r="C267" s="218" t="n"/>
      <c r="D267" s="218" t="n"/>
      <c r="E267" s="218" t="n"/>
      <c r="F267" s="218" t="n"/>
      <c r="G267" s="218" t="n"/>
      <c r="H267" s="218" t="n"/>
      <c r="I267" s="218" t="n"/>
      <c r="J267" s="218" t="n"/>
      <c r="K267" s="218" t="n"/>
      <c r="L267" s="218" t="n"/>
      <c r="M267" s="219" t="n"/>
      <c r="N267" s="254">
        <f>D247+H247+K247+N247+D256+H256+K256+N256+D265+H265+K265+N265</f>
        <v/>
      </c>
      <c r="O267" s="220" t="n"/>
    </row>
    <row r="268" ht="27" customFormat="1" customHeight="1" s="46" thickBot="1">
      <c r="B268" s="255" t="inlineStr">
        <is>
          <t>KÜMÜLATİF TOPLAM</t>
        </is>
      </c>
      <c r="C268" s="222" t="n"/>
      <c r="D268" s="222" t="n"/>
      <c r="E268" s="222" t="n"/>
      <c r="F268" s="222" t="n"/>
      <c r="G268" s="222" t="n"/>
      <c r="H268" s="222" t="n"/>
      <c r="I268" s="222" t="n"/>
      <c r="J268" s="222" t="n"/>
      <c r="K268" s="222" t="n"/>
      <c r="L268" s="222" t="n"/>
      <c r="M268" s="223" t="n"/>
      <c r="N268" s="256">
        <f>E247+I247+L247+O247+E256+I256+L256+O256+E265+I265+L265+O265</f>
        <v/>
      </c>
      <c r="O268" s="226" t="n"/>
    </row>
    <row r="269" ht="87" customHeight="1" thickBot="1">
      <c r="B269" s="213" t="n"/>
      <c r="C269" s="214" t="n"/>
      <c r="D269" s="214" t="n"/>
      <c r="E269" s="215" t="n"/>
      <c r="F269" s="97" t="inlineStr">
        <is>
          <t>GÜNLÜK FAALİYET RAPORU
0XXXX-XXX-SGM-XXX-XXX-DPR-IPY-100001</t>
        </is>
      </c>
      <c r="G269" s="214" t="n"/>
      <c r="H269" s="214" t="n"/>
      <c r="I269" s="214" t="n"/>
      <c r="J269" s="214" t="n"/>
      <c r="K269" s="215" t="n"/>
      <c r="L269" s="99" t="inlineStr">
        <is>
          <t>LOGO</t>
        </is>
      </c>
      <c r="M269" s="214" t="n"/>
      <c r="N269" s="214" t="n"/>
      <c r="O269" s="216" t="n"/>
    </row>
    <row r="270" ht="21" customHeight="1" thickBot="1">
      <c r="B270" s="257" t="inlineStr">
        <is>
          <t>YAPILAN İŞLER</t>
        </is>
      </c>
      <c r="C270" s="258" t="n"/>
      <c r="D270" s="258" t="n"/>
      <c r="E270" s="258" t="n"/>
      <c r="F270" s="258" t="n"/>
      <c r="G270" s="258" t="n"/>
      <c r="H270" s="258" t="n"/>
      <c r="I270" s="258" t="n"/>
      <c r="J270" s="258" t="n"/>
      <c r="K270" s="258" t="n"/>
      <c r="L270" s="258" t="n"/>
      <c r="M270" s="258" t="n"/>
      <c r="N270" s="258" t="n"/>
      <c r="O270" s="259" t="n"/>
    </row>
    <row r="271" ht="40.2" customFormat="1" customHeight="1" s="45">
      <c r="B271" s="47" t="inlineStr">
        <is>
          <t>NO</t>
        </is>
      </c>
      <c r="C271" s="260" t="inlineStr">
        <is>
          <t>AÇIKLAMA</t>
        </is>
      </c>
      <c r="D271" s="214" t="n"/>
      <c r="E271" s="214" t="n"/>
      <c r="F271" s="214" t="n"/>
      <c r="G271" s="214" t="n"/>
      <c r="H271" s="214" t="n"/>
      <c r="I271" s="215" t="n"/>
      <c r="J271" s="48" t="inlineStr">
        <is>
          <t>İLGİLİ FİRMA/ÇALIŞAN SAYISI</t>
        </is>
      </c>
      <c r="K271" s="261" t="inlineStr">
        <is>
          <t>İLAVE NOTLAR</t>
        </is>
      </c>
      <c r="L271" s="214" t="n"/>
      <c r="M271" s="214" t="n"/>
      <c r="N271" s="214" t="n"/>
      <c r="O271" s="216" t="n"/>
    </row>
    <row r="272" hidden="1" ht="19.95" customFormat="1" customHeight="1" s="45">
      <c r="B272" s="49" t="n"/>
      <c r="C272" s="262" t="inlineStr">
        <is>
          <t>Ruhsat Alım İşleri</t>
        </is>
      </c>
      <c r="D272" s="218" t="n"/>
      <c r="E272" s="218" t="n"/>
      <c r="F272" s="218" t="n"/>
      <c r="G272" s="218" t="n"/>
      <c r="H272" s="218" t="n"/>
      <c r="I272" s="219" t="n"/>
      <c r="J272" s="50" t="n"/>
      <c r="K272" s="263" t="n"/>
      <c r="L272" s="218" t="n"/>
      <c r="M272" s="218" t="n"/>
      <c r="N272" s="218" t="n"/>
      <c r="O272" s="220" t="n"/>
    </row>
    <row r="273" hidden="1" ht="49.95" customFormat="1" customHeight="1" s="45">
      <c r="B273" s="51" t="n">
        <v>1</v>
      </c>
      <c r="C273" s="264" t="inlineStr">
        <is>
          <t>Yapım ruhsatı yazılmış olup, yapı denetim ve Akyurt Belediyesinde tüm imzalar tamamlanmıştır. SGK Müdürlüğüne gidilerek İşyeri açılışı için başvuru yapılmış ve İşyeri açılışı yapılmıştır.</t>
        </is>
      </c>
      <c r="D273" s="218" t="n"/>
      <c r="E273" s="218" t="n"/>
      <c r="F273" s="218" t="n"/>
      <c r="G273" s="218" t="n"/>
      <c r="H273" s="218" t="n"/>
      <c r="I273" s="219" t="n"/>
      <c r="J273" s="52" t="n"/>
      <c r="K273" s="265" t="inlineStr">
        <is>
          <t>SGK İşyeri Sicil Numarası : 4.4120.0101.1457705.006.27.57.000.040</t>
        </is>
      </c>
      <c r="L273" s="218" t="n"/>
      <c r="M273" s="218" t="n"/>
      <c r="N273" s="218" t="n"/>
      <c r="O273" s="220" t="n"/>
    </row>
    <row r="274" hidden="1" ht="19.95" customFormat="1" customHeight="1" s="45">
      <c r="B274" s="49" t="n"/>
      <c r="C274" s="262" t="inlineStr">
        <is>
          <t>Mobilizasyon İşleri</t>
        </is>
      </c>
      <c r="D274" s="218" t="n"/>
      <c r="E274" s="218" t="n"/>
      <c r="F274" s="218" t="n"/>
      <c r="G274" s="218" t="n"/>
      <c r="H274" s="218" t="n"/>
      <c r="I274" s="219" t="n"/>
      <c r="J274" s="50" t="n"/>
      <c r="K274" s="263" t="n"/>
      <c r="L274" s="218" t="n"/>
      <c r="M274" s="218" t="n"/>
      <c r="N274" s="218" t="n"/>
      <c r="O274" s="220" t="n"/>
    </row>
    <row r="275" hidden="1" ht="30" customFormat="1" customHeight="1" s="45">
      <c r="B275" s="51" t="n">
        <v>1</v>
      </c>
      <c r="C275" s="264" t="inlineStr">
        <is>
          <t>Mobilizasyon çalışmaları devam etmektedir.</t>
        </is>
      </c>
      <c r="D275" s="218" t="n"/>
      <c r="E275" s="218" t="n"/>
      <c r="F275" s="218" t="n"/>
      <c r="G275" s="218" t="n"/>
      <c r="H275" s="218" t="n"/>
      <c r="I275" s="219" t="n"/>
      <c r="J275" s="52" t="n"/>
      <c r="K275" s="265" t="inlineStr">
        <is>
          <t>İSG önlemleri kapsamında çalışmalar yapıldı.</t>
        </is>
      </c>
      <c r="L275" s="218" t="n"/>
      <c r="M275" s="218" t="n"/>
      <c r="N275" s="218" t="n"/>
      <c r="O275" s="220" t="n"/>
    </row>
    <row r="276" ht="19.95" customFormat="1" customHeight="1" s="45">
      <c r="B276" s="49" t="n"/>
      <c r="C276" s="262" t="inlineStr">
        <is>
          <t>Kazı İşleri</t>
        </is>
      </c>
      <c r="D276" s="218" t="n"/>
      <c r="E276" s="218" t="n"/>
      <c r="F276" s="218" t="n"/>
      <c r="G276" s="218" t="n"/>
      <c r="H276" s="218" t="n"/>
      <c r="I276" s="219" t="n"/>
      <c r="J276" s="50" t="n"/>
      <c r="K276" s="263" t="n"/>
      <c r="L276" s="218" t="n"/>
      <c r="M276" s="218" t="n"/>
      <c r="N276" s="218" t="n"/>
      <c r="O276" s="220" t="n"/>
    </row>
    <row r="277" ht="34.5" customFormat="1" customHeight="1" s="45">
      <c r="B277" s="51" t="n">
        <v>1</v>
      </c>
      <c r="C277" s="266" t="n"/>
      <c r="D277" s="218" t="n"/>
      <c r="E277" s="218" t="n"/>
      <c r="F277" s="218" t="n"/>
      <c r="G277" s="218" t="n"/>
      <c r="H277" s="218" t="n"/>
      <c r="I277" s="219" t="n"/>
      <c r="J277" s="52" t="n"/>
      <c r="K277" s="267" t="n"/>
      <c r="L277" s="218" t="n"/>
      <c r="M277" s="218" t="n"/>
      <c r="N277" s="218" t="n"/>
      <c r="O277" s="220" t="n"/>
    </row>
    <row r="278" ht="34.5" customFormat="1" customHeight="1" s="45">
      <c r="B278" s="51" t="n">
        <v>2</v>
      </c>
      <c r="C278" s="266" t="n"/>
      <c r="D278" s="218" t="n"/>
      <c r="E278" s="218" t="n"/>
      <c r="F278" s="218" t="n"/>
      <c r="G278" s="218" t="n"/>
      <c r="H278" s="218" t="n"/>
      <c r="I278" s="219" t="n"/>
      <c r="J278" s="52" t="n"/>
      <c r="K278" s="267" t="n"/>
      <c r="L278" s="218" t="n"/>
      <c r="M278" s="218" t="n"/>
      <c r="N278" s="218" t="n"/>
      <c r="O278" s="220" t="n"/>
    </row>
    <row r="279" ht="35.4" customFormat="1" customHeight="1" s="45">
      <c r="B279" s="51" t="n">
        <v>3</v>
      </c>
      <c r="C279" s="264" t="n"/>
      <c r="D279" s="218" t="n"/>
      <c r="E279" s="218" t="n"/>
      <c r="F279" s="218" t="n"/>
      <c r="G279" s="218" t="n"/>
      <c r="H279" s="218" t="n"/>
      <c r="I279" s="219" t="n"/>
      <c r="J279" s="52" t="n"/>
      <c r="K279" s="265" t="n"/>
      <c r="L279" s="218" t="n"/>
      <c r="M279" s="218" t="n"/>
      <c r="N279" s="218" t="n"/>
      <c r="O279" s="220" t="n"/>
    </row>
    <row r="280" ht="19.95" customFormat="1" customHeight="1" s="45">
      <c r="B280" s="49" t="n"/>
      <c r="C280" s="262" t="inlineStr">
        <is>
          <t>Betonarme Kaba Yapı İşleri</t>
        </is>
      </c>
      <c r="D280" s="218" t="n"/>
      <c r="E280" s="218" t="n"/>
      <c r="F280" s="218" t="n"/>
      <c r="G280" s="218" t="n"/>
      <c r="H280" s="218" t="n"/>
      <c r="I280" s="219" t="n"/>
      <c r="J280" s="50" t="n"/>
      <c r="K280" s="263" t="n"/>
      <c r="L280" s="218" t="n"/>
      <c r="M280" s="218" t="n"/>
      <c r="N280" s="218" t="n"/>
      <c r="O280" s="220" t="n"/>
    </row>
    <row r="281" ht="34.5" customFormat="1" customHeight="1" s="45">
      <c r="B281" s="51" t="n">
        <v>1</v>
      </c>
      <c r="C281" s="266" t="n"/>
      <c r="D281" s="218" t="n"/>
      <c r="E281" s="218" t="n"/>
      <c r="F281" s="218" t="n"/>
      <c r="G281" s="218" t="n"/>
      <c r="H281" s="218" t="n"/>
      <c r="I281" s="219" t="n"/>
      <c r="J281" s="52" t="n"/>
      <c r="K281" s="65" t="n"/>
      <c r="L281" s="66" t="n"/>
      <c r="M281" s="66" t="n"/>
      <c r="N281" s="66" t="n"/>
      <c r="O281" s="67" t="n"/>
    </row>
    <row r="282" ht="34.5" customFormat="1" customHeight="1" s="45">
      <c r="B282" s="51" t="n">
        <v>2</v>
      </c>
      <c r="C282" s="266" t="n"/>
      <c r="D282" s="218" t="n"/>
      <c r="E282" s="218" t="n"/>
      <c r="F282" s="218" t="n"/>
      <c r="G282" s="218" t="n"/>
      <c r="H282" s="218" t="n"/>
      <c r="I282" s="219" t="n"/>
      <c r="J282" s="52" t="n"/>
      <c r="K282" s="267" t="n"/>
      <c r="L282" s="218" t="n"/>
      <c r="M282" s="218" t="n"/>
      <c r="N282" s="218" t="n"/>
      <c r="O282" s="220" t="n"/>
    </row>
    <row r="283" ht="34.5" customFormat="1" customHeight="1" s="45">
      <c r="B283" s="51" t="n">
        <v>3</v>
      </c>
      <c r="C283" s="264" t="n"/>
      <c r="D283" s="218" t="n"/>
      <c r="E283" s="218" t="n"/>
      <c r="F283" s="218" t="n"/>
      <c r="G283" s="218" t="n"/>
      <c r="H283" s="218" t="n"/>
      <c r="I283" s="219" t="n"/>
      <c r="J283" s="52" t="n"/>
      <c r="K283" s="268" t="n"/>
      <c r="L283" s="218" t="n"/>
      <c r="M283" s="218" t="n"/>
      <c r="N283" s="218" t="n"/>
      <c r="O283" s="220" t="n"/>
    </row>
    <row r="284" ht="19.95" customFormat="1" customHeight="1" s="45">
      <c r="B284" s="49" t="n"/>
      <c r="C284" s="262" t="inlineStr">
        <is>
          <t>İnce Yapı İşleri</t>
        </is>
      </c>
      <c r="D284" s="218" t="n"/>
      <c r="E284" s="218" t="n"/>
      <c r="F284" s="218" t="n"/>
      <c r="G284" s="218" t="n"/>
      <c r="H284" s="218" t="n"/>
      <c r="I284" s="219" t="n"/>
      <c r="J284" s="50" t="n"/>
      <c r="K284" s="263" t="n"/>
      <c r="L284" s="218" t="n"/>
      <c r="M284" s="218" t="n"/>
      <c r="N284" s="218" t="n"/>
      <c r="O284" s="220" t="n"/>
    </row>
    <row r="285" ht="35.4" customFormat="1" customHeight="1" s="45">
      <c r="B285" s="51" t="n">
        <v>1</v>
      </c>
      <c r="C285" s="264" t="n"/>
      <c r="D285" s="218" t="n"/>
      <c r="E285" s="218" t="n"/>
      <c r="F285" s="218" t="n"/>
      <c r="G285" s="218" t="n"/>
      <c r="H285" s="218" t="n"/>
      <c r="I285" s="219" t="n"/>
      <c r="J285" s="52" t="n"/>
      <c r="K285" s="268" t="n"/>
      <c r="L285" s="218" t="n"/>
      <c r="M285" s="218" t="n"/>
      <c r="N285" s="218" t="n"/>
      <c r="O285" s="220" t="n"/>
    </row>
    <row r="286" ht="35.4" customFormat="1" customHeight="1" s="45">
      <c r="B286" s="51" t="n">
        <v>2</v>
      </c>
      <c r="C286" s="264" t="n"/>
      <c r="D286" s="218" t="n"/>
      <c r="E286" s="218" t="n"/>
      <c r="F286" s="218" t="n"/>
      <c r="G286" s="218" t="n"/>
      <c r="H286" s="218" t="n"/>
      <c r="I286" s="219" t="n"/>
      <c r="J286" s="52" t="n"/>
      <c r="K286" s="268" t="n"/>
      <c r="L286" s="218" t="n"/>
      <c r="M286" s="218" t="n"/>
      <c r="N286" s="218" t="n"/>
      <c r="O286" s="220" t="n"/>
    </row>
    <row r="287" ht="35.4" customFormat="1" customHeight="1" s="45">
      <c r="B287" s="51" t="n">
        <v>3</v>
      </c>
      <c r="C287" s="264" t="n"/>
      <c r="D287" s="218" t="n"/>
      <c r="E287" s="218" t="n"/>
      <c r="F287" s="218" t="n"/>
      <c r="G287" s="218" t="n"/>
      <c r="H287" s="218" t="n"/>
      <c r="I287" s="219" t="n"/>
      <c r="J287" s="52" t="n"/>
      <c r="K287" s="268" t="n"/>
      <c r="L287" s="218" t="n"/>
      <c r="M287" s="218" t="n"/>
      <c r="N287" s="218" t="n"/>
      <c r="O287" s="220" t="n"/>
    </row>
    <row r="288" ht="19.95" customFormat="1" customHeight="1" s="45">
      <c r="B288" s="49" t="n"/>
      <c r="C288" s="262" t="inlineStr">
        <is>
          <t>Altyapı İşleri</t>
        </is>
      </c>
      <c r="D288" s="218" t="n"/>
      <c r="E288" s="218" t="n"/>
      <c r="F288" s="218" t="n"/>
      <c r="G288" s="218" t="n"/>
      <c r="H288" s="218" t="n"/>
      <c r="I288" s="219" t="n"/>
      <c r="J288" s="50" t="n"/>
      <c r="K288" s="263" t="n"/>
      <c r="L288" s="218" t="n"/>
      <c r="M288" s="218" t="n"/>
      <c r="N288" s="218" t="n"/>
      <c r="O288" s="220" t="n"/>
    </row>
    <row r="289" ht="35.4" customFormat="1" customHeight="1" s="45">
      <c r="B289" s="51" t="n">
        <v>1</v>
      </c>
      <c r="C289" s="264" t="n"/>
      <c r="D289" s="218" t="n"/>
      <c r="E289" s="218" t="n"/>
      <c r="F289" s="218" t="n"/>
      <c r="G289" s="218" t="n"/>
      <c r="H289" s="218" t="n"/>
      <c r="I289" s="219" t="n"/>
      <c r="J289" s="52" t="n"/>
      <c r="K289" s="268" t="n"/>
      <c r="L289" s="218" t="n"/>
      <c r="M289" s="218" t="n"/>
      <c r="N289" s="218" t="n"/>
      <c r="O289" s="220" t="n"/>
    </row>
    <row r="290" ht="35.4" customFormat="1" customHeight="1" s="45">
      <c r="B290" s="51" t="n">
        <v>2</v>
      </c>
      <c r="C290" s="264" t="n"/>
      <c r="D290" s="218" t="n"/>
      <c r="E290" s="218" t="n"/>
      <c r="F290" s="218" t="n"/>
      <c r="G290" s="218" t="n"/>
      <c r="H290" s="218" t="n"/>
      <c r="I290" s="219" t="n"/>
      <c r="J290" s="52" t="n"/>
      <c r="K290" s="268" t="n"/>
      <c r="L290" s="218" t="n"/>
      <c r="M290" s="218" t="n"/>
      <c r="N290" s="218" t="n"/>
      <c r="O290" s="220" t="n"/>
    </row>
    <row r="291" ht="35.4" customFormat="1" customHeight="1" s="45">
      <c r="B291" s="51" t="n">
        <v>3</v>
      </c>
      <c r="C291" s="264" t="n"/>
      <c r="D291" s="218" t="n"/>
      <c r="E291" s="218" t="n"/>
      <c r="F291" s="218" t="n"/>
      <c r="G291" s="218" t="n"/>
      <c r="H291" s="218" t="n"/>
      <c r="I291" s="219" t="n"/>
      <c r="J291" s="52" t="n"/>
      <c r="K291" s="268" t="n"/>
      <c r="L291" s="218" t="n"/>
      <c r="M291" s="218" t="n"/>
      <c r="N291" s="218" t="n"/>
      <c r="O291" s="220" t="n"/>
    </row>
    <row r="292" ht="19.95" customFormat="1" customHeight="1" s="45">
      <c r="B292" s="49" t="n"/>
      <c r="C292" s="262" t="inlineStr">
        <is>
          <t>Mekanik İşleri</t>
        </is>
      </c>
      <c r="D292" s="218" t="n"/>
      <c r="E292" s="218" t="n"/>
      <c r="F292" s="218" t="n"/>
      <c r="G292" s="218" t="n"/>
      <c r="H292" s="218" t="n"/>
      <c r="I292" s="219" t="n"/>
      <c r="J292" s="50" t="n"/>
      <c r="K292" s="263" t="n"/>
      <c r="L292" s="218" t="n"/>
      <c r="M292" s="218" t="n"/>
      <c r="N292" s="218" t="n"/>
      <c r="O292" s="220" t="n"/>
    </row>
    <row r="293" ht="35.4" customFormat="1" customHeight="1" s="45">
      <c r="B293" s="51" t="n">
        <v>1</v>
      </c>
      <c r="C293" s="264" t="n"/>
      <c r="D293" s="218" t="n"/>
      <c r="E293" s="218" t="n"/>
      <c r="F293" s="218" t="n"/>
      <c r="G293" s="218" t="n"/>
      <c r="H293" s="218" t="n"/>
      <c r="I293" s="219" t="n"/>
      <c r="J293" s="52" t="n"/>
      <c r="K293" s="268" t="n"/>
      <c r="L293" s="218" t="n"/>
      <c r="M293" s="218" t="n"/>
      <c r="N293" s="218" t="n"/>
      <c r="O293" s="220" t="n"/>
    </row>
    <row r="294" ht="35.4" customFormat="1" customHeight="1" s="45">
      <c r="B294" s="51" t="n">
        <v>2</v>
      </c>
      <c r="C294" s="264" t="n"/>
      <c r="D294" s="218" t="n"/>
      <c r="E294" s="218" t="n"/>
      <c r="F294" s="218" t="n"/>
      <c r="G294" s="218" t="n"/>
      <c r="H294" s="218" t="n"/>
      <c r="I294" s="219" t="n"/>
      <c r="J294" s="52" t="n"/>
      <c r="K294" s="268" t="n"/>
      <c r="L294" s="218" t="n"/>
      <c r="M294" s="218" t="n"/>
      <c r="N294" s="218" t="n"/>
      <c r="O294" s="220" t="n"/>
    </row>
    <row r="295" ht="35.4" customFormat="1" customHeight="1" s="45">
      <c r="B295" s="51" t="n">
        <v>3</v>
      </c>
      <c r="C295" s="264" t="n"/>
      <c r="D295" s="218" t="n"/>
      <c r="E295" s="218" t="n"/>
      <c r="F295" s="218" t="n"/>
      <c r="G295" s="218" t="n"/>
      <c r="H295" s="218" t="n"/>
      <c r="I295" s="219" t="n"/>
      <c r="J295" s="52" t="n"/>
      <c r="K295" s="268" t="n"/>
      <c r="L295" s="218" t="n"/>
      <c r="M295" s="218" t="n"/>
      <c r="N295" s="218" t="n"/>
      <c r="O295" s="220" t="n"/>
    </row>
    <row r="296" ht="19.95" customFormat="1" customHeight="1" s="45">
      <c r="B296" s="49" t="n"/>
      <c r="C296" s="262" t="inlineStr">
        <is>
          <t>Elektrik İşleri</t>
        </is>
      </c>
      <c r="D296" s="218" t="n"/>
      <c r="E296" s="218" t="n"/>
      <c r="F296" s="218" t="n"/>
      <c r="G296" s="218" t="n"/>
      <c r="H296" s="218" t="n"/>
      <c r="I296" s="219" t="n"/>
      <c r="J296" s="50" t="n"/>
      <c r="K296" s="263" t="n"/>
      <c r="L296" s="218" t="n"/>
      <c r="M296" s="218" t="n"/>
      <c r="N296" s="218" t="n"/>
      <c r="O296" s="220" t="n"/>
    </row>
    <row r="297" ht="35.4" customFormat="1" customHeight="1" s="45">
      <c r="B297" s="51" t="n">
        <v>1</v>
      </c>
      <c r="C297" s="264" t="n"/>
      <c r="D297" s="218" t="n"/>
      <c r="E297" s="218" t="n"/>
      <c r="F297" s="218" t="n"/>
      <c r="G297" s="218" t="n"/>
      <c r="H297" s="218" t="n"/>
      <c r="I297" s="219" t="n"/>
      <c r="J297" s="52" t="n"/>
      <c r="K297" s="268" t="n"/>
      <c r="L297" s="218" t="n"/>
      <c r="M297" s="218" t="n"/>
      <c r="N297" s="218" t="n"/>
      <c r="O297" s="220" t="n"/>
    </row>
    <row r="298" ht="35.4" customFormat="1" customHeight="1" s="45">
      <c r="B298" s="51" t="n">
        <v>2</v>
      </c>
      <c r="C298" s="264" t="n"/>
      <c r="D298" s="218" t="n"/>
      <c r="E298" s="218" t="n"/>
      <c r="F298" s="218" t="n"/>
      <c r="G298" s="218" t="n"/>
      <c r="H298" s="218" t="n"/>
      <c r="I298" s="219" t="n"/>
      <c r="J298" s="52" t="n"/>
      <c r="K298" s="268" t="n"/>
      <c r="L298" s="218" t="n"/>
      <c r="M298" s="218" t="n"/>
      <c r="N298" s="218" t="n"/>
      <c r="O298" s="220" t="n"/>
    </row>
    <row r="299" ht="19.95" customFormat="1" customHeight="1" s="45">
      <c r="B299" s="49" t="n"/>
      <c r="C299" s="262" t="inlineStr">
        <is>
          <t>İSG</t>
        </is>
      </c>
      <c r="D299" s="218" t="n"/>
      <c r="E299" s="218" t="n"/>
      <c r="F299" s="218" t="n"/>
      <c r="G299" s="218" t="n"/>
      <c r="H299" s="218" t="n"/>
      <c r="I299" s="219" t="n"/>
      <c r="J299" s="50" t="n"/>
      <c r="K299" s="263" t="n"/>
      <c r="L299" s="218" t="n"/>
      <c r="M299" s="218" t="n"/>
      <c r="N299" s="218" t="n"/>
      <c r="O299" s="220" t="n"/>
    </row>
    <row r="300" ht="35.4" customFormat="1" customHeight="1" s="45">
      <c r="B300" s="51" t="n">
        <v>1</v>
      </c>
      <c r="C300" s="264" t="n"/>
      <c r="D300" s="218" t="n"/>
      <c r="E300" s="218" t="n"/>
      <c r="F300" s="218" t="n"/>
      <c r="G300" s="218" t="n"/>
      <c r="H300" s="218" t="n"/>
      <c r="I300" s="219" t="n"/>
      <c r="J300" s="52" t="n"/>
      <c r="K300" s="268" t="n"/>
      <c r="L300" s="218" t="n"/>
      <c r="M300" s="218" t="n"/>
      <c r="N300" s="218" t="n"/>
      <c r="O300" s="220" t="n"/>
    </row>
    <row r="301" ht="35.4" customFormat="1" customHeight="1" s="45">
      <c r="B301" s="51" t="n">
        <v>2</v>
      </c>
      <c r="C301" s="264" t="n"/>
      <c r="D301" s="218" t="n"/>
      <c r="E301" s="218" t="n"/>
      <c r="F301" s="218" t="n"/>
      <c r="G301" s="218" t="n"/>
      <c r="H301" s="218" t="n"/>
      <c r="I301" s="219" t="n"/>
      <c r="J301" s="52" t="n"/>
      <c r="K301" s="268" t="n"/>
      <c r="L301" s="218" t="n"/>
      <c r="M301" s="218" t="n"/>
      <c r="N301" s="218" t="n"/>
      <c r="O301" s="220" t="n"/>
    </row>
    <row r="302" ht="36" customFormat="1" customHeight="1" s="45">
      <c r="B302" s="51" t="n">
        <v>3</v>
      </c>
      <c r="C302" s="264" t="n"/>
      <c r="D302" s="218" t="n"/>
      <c r="E302" s="218" t="n"/>
      <c r="F302" s="218" t="n"/>
      <c r="G302" s="218" t="n"/>
      <c r="H302" s="218" t="n"/>
      <c r="I302" s="219" t="n"/>
      <c r="J302" s="52" t="n"/>
      <c r="K302" s="268" t="n"/>
      <c r="L302" s="218" t="n"/>
      <c r="M302" s="218" t="n"/>
      <c r="N302" s="218" t="n"/>
      <c r="O302" s="220" t="n"/>
    </row>
    <row r="303" ht="19.95" customFormat="1" customHeight="1" s="45">
      <c r="B303" s="49" t="n"/>
      <c r="C303" s="262" t="inlineStr">
        <is>
          <t>Teknik Ofis İşleri</t>
        </is>
      </c>
      <c r="D303" s="218" t="n"/>
      <c r="E303" s="218" t="n"/>
      <c r="F303" s="218" t="n"/>
      <c r="G303" s="218" t="n"/>
      <c r="H303" s="218" t="n"/>
      <c r="I303" s="219" t="n"/>
      <c r="J303" s="50" t="n"/>
      <c r="K303" s="263" t="n"/>
      <c r="L303" s="218" t="n"/>
      <c r="M303" s="218" t="n"/>
      <c r="N303" s="218" t="n"/>
      <c r="O303" s="220" t="n"/>
    </row>
    <row r="304" ht="35.25" customFormat="1" customHeight="1" s="45">
      <c r="B304" s="51" t="n">
        <v>1</v>
      </c>
      <c r="C304" s="264" t="n"/>
      <c r="D304" s="218" t="n"/>
      <c r="E304" s="218" t="n"/>
      <c r="F304" s="218" t="n"/>
      <c r="G304" s="218" t="n"/>
      <c r="H304" s="218" t="n"/>
      <c r="I304" s="219" t="n"/>
      <c r="J304" s="52" t="n"/>
      <c r="K304" s="268" t="n"/>
      <c r="L304" s="218" t="n"/>
      <c r="M304" s="218" t="n"/>
      <c r="N304" s="218" t="n"/>
      <c r="O304" s="220" t="n"/>
    </row>
    <row r="305" ht="35.25" customFormat="1" customHeight="1" s="45">
      <c r="B305" s="51" t="n">
        <v>2</v>
      </c>
      <c r="C305" s="264" t="n"/>
      <c r="D305" s="218" t="n"/>
      <c r="E305" s="218" t="n"/>
      <c r="F305" s="218" t="n"/>
      <c r="G305" s="218" t="n"/>
      <c r="H305" s="218" t="n"/>
      <c r="I305" s="219" t="n"/>
      <c r="J305" s="52" t="n"/>
      <c r="K305" s="267" t="n"/>
      <c r="L305" s="218" t="n"/>
      <c r="M305" s="218" t="n"/>
      <c r="N305" s="218" t="n"/>
      <c r="O305" s="220" t="n"/>
    </row>
    <row r="306" ht="35.25" customFormat="1" customHeight="1" s="45" thickBot="1">
      <c r="B306" s="51" t="n">
        <v>3</v>
      </c>
      <c r="C306" s="269" t="n"/>
      <c r="D306" s="218" t="n"/>
      <c r="E306" s="218" t="n"/>
      <c r="F306" s="218" t="n"/>
      <c r="G306" s="218" t="n"/>
      <c r="H306" s="218" t="n"/>
      <c r="I306" s="219" t="n"/>
      <c r="J306" s="52" t="n"/>
      <c r="K306" s="267" t="n"/>
      <c r="L306" s="218" t="n"/>
      <c r="M306" s="218" t="n"/>
      <c r="N306" s="218" t="n"/>
      <c r="O306" s="220" t="n"/>
    </row>
    <row r="307" ht="18.75" customHeight="1">
      <c r="B307" s="270" t="inlineStr">
        <is>
          <t>İMZA</t>
        </is>
      </c>
      <c r="C307" s="74" t="inlineStr">
        <is>
          <t>SİGMA MÜHENDİSLİK HİZMETLERİ DEKORASYON İNŞAAT LTD. ŞTİ.</t>
        </is>
      </c>
      <c r="D307" s="214" t="n"/>
      <c r="E307" s="214" t="n"/>
      <c r="F307" s="214" t="n"/>
      <c r="G307" s="214" t="n"/>
      <c r="H307" s="214" t="n"/>
      <c r="I307" s="215" t="n"/>
      <c r="J307" s="76" t="inlineStr">
        <is>
          <t>ANA YÜKLENİCİ</t>
        </is>
      </c>
      <c r="K307" s="214" t="n"/>
      <c r="L307" s="214" t="n"/>
      <c r="M307" s="214" t="n"/>
      <c r="N307" s="214" t="n"/>
      <c r="O307" s="216" t="n"/>
    </row>
    <row r="308" ht="18.75" customHeight="1">
      <c r="B308" s="271" t="n"/>
      <c r="C308" s="272" t="n"/>
      <c r="D308" s="218" t="n"/>
      <c r="E308" s="218" t="n"/>
      <c r="F308" s="218" t="n"/>
      <c r="G308" s="218" t="n"/>
      <c r="H308" s="218" t="n"/>
      <c r="I308" s="219" t="n"/>
      <c r="J308" s="56" t="n"/>
      <c r="K308" s="56" t="n"/>
      <c r="L308" s="56" t="n"/>
      <c r="M308" s="56" t="n"/>
      <c r="N308" s="56" t="n"/>
      <c r="O308" s="57" t="n"/>
    </row>
    <row r="309" ht="14.25" customHeight="1">
      <c r="B309" s="271" t="n"/>
      <c r="C309" s="80" t="n"/>
      <c r="D309" s="273" t="n"/>
      <c r="E309" s="273" t="n"/>
      <c r="F309" s="273" t="n"/>
      <c r="G309" s="273" t="n"/>
      <c r="H309" s="273" t="n"/>
      <c r="I309" s="274" t="n"/>
      <c r="J309" s="80" t="n"/>
      <c r="K309" s="273" t="n"/>
      <c r="L309" s="273" t="n"/>
      <c r="M309" s="273" t="n"/>
      <c r="N309" s="273" t="n"/>
      <c r="O309" s="274" t="n"/>
    </row>
    <row r="310" ht="14.25" customHeight="1">
      <c r="B310" s="271" t="n"/>
      <c r="C310" s="275" t="n"/>
      <c r="I310" s="276" t="n"/>
      <c r="J310" s="275" t="n"/>
      <c r="O310" s="276" t="n"/>
    </row>
    <row r="311" ht="14.25" customHeight="1" thickBot="1">
      <c r="B311" s="277" t="n"/>
      <c r="C311" s="278" t="n"/>
      <c r="D311" s="250" t="n"/>
      <c r="E311" s="250" t="n"/>
      <c r="F311" s="250" t="n"/>
      <c r="G311" s="250" t="n"/>
      <c r="H311" s="250" t="n"/>
      <c r="I311" s="240" t="n"/>
      <c r="J311" s="278" t="n"/>
      <c r="K311" s="250" t="n"/>
      <c r="L311" s="250" t="n"/>
      <c r="M311" s="250" t="n"/>
      <c r="N311" s="250" t="n"/>
      <c r="O311" s="240" t="n"/>
    </row>
    <row r="329" ht="10.8" customHeight="1" thickBot="1"/>
    <row r="330" ht="87" customHeight="1">
      <c r="B330" s="213" t="n"/>
      <c r="C330" s="214" t="n"/>
      <c r="D330" s="214" t="n"/>
      <c r="E330" s="215" t="n"/>
      <c r="F330" s="97" t="inlineStr">
        <is>
          <t>GÜNLÜK FAALİYET RAPORU
02780-BGC-SGM-XXX-XXX-DPR-IPY-100001</t>
        </is>
      </c>
      <c r="G330" s="214" t="n"/>
      <c r="H330" s="214" t="n"/>
      <c r="I330" s="214" t="n"/>
      <c r="J330" s="214" t="n"/>
      <c r="K330" s="215" t="n"/>
      <c r="L330" s="99" t="inlineStr">
        <is>
          <t>LOGO</t>
        </is>
      </c>
      <c r="M330" s="214" t="n"/>
      <c r="N330" s="214" t="n"/>
      <c r="O330" s="216" t="n"/>
      <c r="U330" s="2" t="n"/>
    </row>
    <row r="331" ht="37.5" customHeight="1">
      <c r="B331" s="217" t="inlineStr">
        <is>
          <t>İŞVEREN</t>
        </is>
      </c>
      <c r="C331" s="218" t="n"/>
      <c r="D331" s="218" t="n"/>
      <c r="E331" s="219" t="n"/>
      <c r="F331" s="198" t="inlineStr">
        <is>
          <t>ANA YÜKLENİCİ</t>
        </is>
      </c>
      <c r="G331" s="219" t="n"/>
      <c r="H331" s="199" t="n"/>
      <c r="I331" s="219" t="n"/>
      <c r="J331" s="200" t="inlineStr">
        <is>
          <t>TARİH</t>
        </is>
      </c>
      <c r="K331" s="218" t="n"/>
      <c r="L331" s="219" t="n"/>
      <c r="M331" s="203" t="inlineStr">
        <is>
          <t>XX.0X.2026</t>
        </is>
      </c>
      <c r="N331" s="218" t="n"/>
      <c r="O331" s="220" t="n"/>
    </row>
    <row r="332" ht="30.75" customHeight="1">
      <c r="B332" s="204" t="inlineStr">
        <is>
          <t>Halk Gayrimenkul Yatırım Ortaklığı A.Ş.</t>
        </is>
      </c>
      <c r="C332" s="218" t="n"/>
      <c r="D332" s="218" t="n"/>
      <c r="E332" s="219" t="n"/>
      <c r="F332" s="205" t="inlineStr">
        <is>
          <t>-</t>
        </is>
      </c>
      <c r="G332" s="219" t="n"/>
      <c r="H332" s="207" t="n"/>
      <c r="I332" s="219" t="n"/>
      <c r="J332" s="201" t="inlineStr">
        <is>
          <t>HAVA DURUMU</t>
        </is>
      </c>
      <c r="K332" s="218" t="n"/>
      <c r="L332" s="219" t="n"/>
      <c r="M332" s="221" t="inlineStr">
        <is>
          <t>Açık / 25°C</t>
        </is>
      </c>
      <c r="N332" s="218" t="n"/>
      <c r="O332" s="220" t="n"/>
    </row>
    <row r="333" ht="34.5" customHeight="1" thickBot="1">
      <c r="B333" s="170" t="inlineStr">
        <is>
          <t>HALK GYO ASM BAĞCILAR PROJESİ</t>
        </is>
      </c>
      <c r="C333" s="222" t="n"/>
      <c r="D333" s="222" t="n"/>
      <c r="E333" s="222" t="n"/>
      <c r="F333" s="222" t="n"/>
      <c r="G333" s="222" t="n"/>
      <c r="H333" s="222" t="n"/>
      <c r="I333" s="223" t="n"/>
      <c r="J333" s="224" t="inlineStr">
        <is>
          <t>İŞ BİTİM TARİHİ</t>
        </is>
      </c>
      <c r="K333" s="222" t="n"/>
      <c r="L333" s="223" t="n"/>
      <c r="M333" s="225" t="n"/>
      <c r="N333" s="222" t="n"/>
      <c r="O333" s="226" t="n"/>
    </row>
    <row r="334" ht="17.25" customHeight="1">
      <c r="B334" s="227" t="inlineStr">
        <is>
          <t>İŞVEREN / PROJE YÖNETİMİ</t>
        </is>
      </c>
      <c r="C334" s="228" t="n"/>
      <c r="D334" s="228" t="n"/>
      <c r="E334" s="229" t="n"/>
      <c r="F334" s="230" t="inlineStr">
        <is>
          <t>Kümülatif</t>
        </is>
      </c>
      <c r="G334" s="231" t="inlineStr">
        <is>
          <t>YÜKLENİCİ FİRMA
Teknik Kadro Dahil</t>
        </is>
      </c>
      <c r="H334" s="228" t="n"/>
      <c r="I334" s="228" t="n"/>
      <c r="J334" s="232" t="inlineStr">
        <is>
          <t>Kümülatif</t>
        </is>
      </c>
      <c r="K334" s="187" t="inlineStr">
        <is>
          <t>İŞ MAKİNALARI</t>
        </is>
      </c>
      <c r="L334" s="229" t="n"/>
      <c r="M334" s="191" t="inlineStr">
        <is>
          <t>Giriş Tarihi</t>
        </is>
      </c>
      <c r="N334" s="191" t="inlineStr">
        <is>
          <t>Çıkış Tarihi</t>
        </is>
      </c>
      <c r="O334" s="233" t="inlineStr">
        <is>
          <t>Puantaj (Saat)</t>
        </is>
      </c>
    </row>
    <row r="335" ht="17.25" customHeight="1" thickBot="1">
      <c r="B335" s="234" t="n"/>
      <c r="C335" s="235" t="n"/>
      <c r="D335" s="235" t="n"/>
      <c r="E335" s="236" t="n"/>
      <c r="F335" s="237" t="n"/>
      <c r="G335" s="234" t="n"/>
      <c r="H335" s="235" t="n"/>
      <c r="I335" s="235" t="n"/>
      <c r="J335" s="238" t="n"/>
      <c r="K335" s="239" t="n"/>
      <c r="L335" s="240" t="n"/>
      <c r="M335" s="241" t="n"/>
      <c r="N335" s="241" t="n"/>
      <c r="O335" s="237" t="n"/>
    </row>
    <row r="336" ht="22.5" customHeight="1">
      <c r="B336" s="242" t="inlineStr">
        <is>
          <t>Proje Müdürü Saha-PY</t>
        </is>
      </c>
      <c r="C336" s="240" t="n"/>
      <c r="D336" s="3" t="n">
        <v>0</v>
      </c>
      <c r="E336" s="4" t="n"/>
      <c r="F336" s="5">
        <f>D336</f>
        <v/>
      </c>
      <c r="G336" s="6" t="inlineStr">
        <is>
          <t>Şantiye Şefi-Mukas</t>
        </is>
      </c>
      <c r="H336" s="7" t="n">
        <v>0</v>
      </c>
      <c r="I336" s="8" t="n"/>
      <c r="J336" s="5">
        <f>H336</f>
        <v/>
      </c>
      <c r="K336" s="162" t="inlineStr">
        <is>
          <t>JCB</t>
        </is>
      </c>
      <c r="L336" s="219" t="n"/>
      <c r="M336" s="9" t="n"/>
      <c r="N336" s="9" t="n"/>
      <c r="O336" s="10" t="n">
        <v>0</v>
      </c>
    </row>
    <row r="337" ht="26.25" customHeight="1">
      <c r="B337" s="242" t="inlineStr">
        <is>
          <t>Proje Müdürü Merkez-PY</t>
        </is>
      </c>
      <c r="C337" s="240" t="n"/>
      <c r="D337" s="3" t="n">
        <v>0</v>
      </c>
      <c r="E337" s="11" t="n"/>
      <c r="F337" s="5">
        <f>D337</f>
        <v/>
      </c>
      <c r="G337" s="6" t="inlineStr">
        <is>
          <t>İnşaat Mühendisi</t>
        </is>
      </c>
      <c r="H337" s="7" t="n">
        <v>0</v>
      </c>
      <c r="I337" s="12" t="n"/>
      <c r="J337" s="5">
        <f>H337</f>
        <v/>
      </c>
      <c r="K337" s="162" t="inlineStr">
        <is>
          <t>Fore Kazık Makinası</t>
        </is>
      </c>
      <c r="L337" s="219" t="n"/>
      <c r="M337" s="9" t="n"/>
      <c r="N337" s="9" t="n"/>
      <c r="O337" s="10" t="n">
        <v>0</v>
      </c>
    </row>
    <row r="338" ht="24.75" customHeight="1">
      <c r="B338" s="6" t="inlineStr">
        <is>
          <t>Proje Koordinatörü-PY</t>
        </is>
      </c>
      <c r="C338" s="219" t="n"/>
      <c r="D338" s="3" t="n">
        <v>0</v>
      </c>
      <c r="E338" s="11" t="n"/>
      <c r="F338" s="5">
        <f>D338</f>
        <v/>
      </c>
      <c r="G338" s="6" t="inlineStr">
        <is>
          <t>Elektrik Mühendisi</t>
        </is>
      </c>
      <c r="H338" s="7" t="n">
        <v>0</v>
      </c>
      <c r="I338" s="12" t="n"/>
      <c r="J338" s="5">
        <f>H338</f>
        <v/>
      </c>
      <c r="K338" s="162" t="inlineStr">
        <is>
          <t>Beton Pompası</t>
        </is>
      </c>
      <c r="L338" s="219" t="n"/>
      <c r="M338" s="9" t="n"/>
      <c r="N338" s="9" t="n"/>
      <c r="O338" s="10" t="n">
        <v>0</v>
      </c>
    </row>
    <row r="339" ht="23.25" customHeight="1">
      <c r="B339" s="162" t="inlineStr">
        <is>
          <t>Proje Müdürü Mimar-PY</t>
        </is>
      </c>
      <c r="C339" s="219" t="n"/>
      <c r="D339" s="3" t="n">
        <v>0</v>
      </c>
      <c r="E339" s="11" t="n"/>
      <c r="F339" s="5">
        <f>D339</f>
        <v/>
      </c>
      <c r="G339" s="6" t="inlineStr">
        <is>
          <t>Makine Mühendisi</t>
        </is>
      </c>
      <c r="H339" s="7" t="n">
        <v>0</v>
      </c>
      <c r="I339" s="12" t="n"/>
      <c r="J339" s="5">
        <f>H339</f>
        <v/>
      </c>
      <c r="K339" s="162" t="inlineStr">
        <is>
          <t>Ekskavatör</t>
        </is>
      </c>
      <c r="L339" s="219" t="n"/>
      <c r="M339" s="9" t="n"/>
      <c r="N339" s="9" t="n"/>
      <c r="O339" s="10" t="n">
        <v>0</v>
      </c>
    </row>
    <row r="340" ht="26.25" customHeight="1">
      <c r="B340" s="162" t="inlineStr">
        <is>
          <t>Proje Elektrik Yüksek Mühendisi-PY</t>
        </is>
      </c>
      <c r="C340" s="219" t="n"/>
      <c r="D340" s="3" t="n">
        <v>0</v>
      </c>
      <c r="E340" s="11" t="n"/>
      <c r="F340" s="5">
        <f>D340</f>
        <v/>
      </c>
      <c r="G340" s="6" t="inlineStr">
        <is>
          <t>Formen</t>
        </is>
      </c>
      <c r="H340" s="7" t="n">
        <v>0</v>
      </c>
      <c r="I340" s="12" t="n"/>
      <c r="J340" s="5">
        <f>H340</f>
        <v/>
      </c>
      <c r="K340" s="162" t="inlineStr">
        <is>
          <t>Kamyon</t>
        </is>
      </c>
      <c r="L340" s="219" t="n"/>
      <c r="M340" s="9" t="n"/>
      <c r="N340" s="9" t="n"/>
      <c r="O340" s="10" t="n">
        <v>0</v>
      </c>
    </row>
    <row r="341" ht="26.25" customHeight="1">
      <c r="B341" s="162" t="inlineStr">
        <is>
          <t>Proje Müdürü Makine Mühendisi-PY</t>
        </is>
      </c>
      <c r="C341" s="219" t="n"/>
      <c r="D341" s="3" t="n">
        <v>0</v>
      </c>
      <c r="E341" s="11" t="n"/>
      <c r="F341" s="5">
        <f>D341</f>
        <v/>
      </c>
      <c r="G341" s="6" t="inlineStr">
        <is>
          <t>İş Güvenliği Uzmanı</t>
        </is>
      </c>
      <c r="H341" s="7" t="n">
        <v>0</v>
      </c>
      <c r="I341" s="12" t="n"/>
      <c r="J341" s="5">
        <f>H341</f>
        <v/>
      </c>
      <c r="K341" s="162" t="inlineStr">
        <is>
          <t>Kırıcılı Ekskavatör</t>
        </is>
      </c>
      <c r="L341" s="219" t="n"/>
      <c r="M341" s="9" t="n"/>
      <c r="N341" s="9" t="n"/>
      <c r="O341" s="10" t="n">
        <v>0</v>
      </c>
    </row>
    <row r="342" ht="26.25" customHeight="1">
      <c r="B342" s="162" t="n"/>
      <c r="C342" s="219" t="n"/>
      <c r="D342" s="3" t="n"/>
      <c r="E342" s="11" t="n"/>
      <c r="F342" s="5" t="n"/>
      <c r="G342" s="6" t="inlineStr">
        <is>
          <t>Saha İşçisi</t>
        </is>
      </c>
      <c r="H342" s="7" t="n">
        <v>0</v>
      </c>
      <c r="I342" s="12" t="n"/>
      <c r="J342" s="5">
        <f>H342</f>
        <v/>
      </c>
      <c r="K342" s="162" t="inlineStr">
        <is>
          <t>Vinç</t>
        </is>
      </c>
      <c r="L342" s="219" t="n"/>
      <c r="M342" s="9" t="n"/>
      <c r="N342" s="9" t="n"/>
      <c r="O342" s="10" t="n">
        <v>0</v>
      </c>
    </row>
    <row r="343" ht="26.25" customHeight="1">
      <c r="B343" s="162" t="n"/>
      <c r="C343" s="219" t="n"/>
      <c r="D343" s="3" t="n"/>
      <c r="E343" s="11" t="n"/>
      <c r="F343" s="5" t="n"/>
      <c r="G343" s="6" t="inlineStr">
        <is>
          <t>Topoğraf</t>
        </is>
      </c>
      <c r="H343" s="7" t="n">
        <v>0</v>
      </c>
      <c r="I343" s="12" t="n"/>
      <c r="J343" s="5">
        <f>H343</f>
        <v/>
      </c>
      <c r="K343" s="162" t="inlineStr">
        <is>
          <t>Silindir</t>
        </is>
      </c>
      <c r="L343" s="219" t="n"/>
      <c r="M343" s="9" t="n"/>
      <c r="N343" s="9" t="n"/>
      <c r="O343" s="10" t="n">
        <v>0</v>
      </c>
    </row>
    <row r="344" ht="26.25" customHeight="1">
      <c r="B344" s="162" t="n"/>
      <c r="C344" s="219" t="n"/>
      <c r="D344" s="3" t="n"/>
      <c r="E344" s="11" t="n"/>
      <c r="F344" s="5" t="n"/>
      <c r="G344" s="6" t="n"/>
      <c r="H344" s="7" t="n"/>
      <c r="I344" s="12" t="n"/>
      <c r="J344" s="13" t="n"/>
      <c r="K344" s="162" t="n"/>
      <c r="L344" s="219" t="n"/>
      <c r="M344" s="9" t="n"/>
      <c r="N344" s="9" t="n"/>
      <c r="O344" s="10" t="n"/>
    </row>
    <row r="345" ht="26.25" customHeight="1">
      <c r="B345" s="243" t="n"/>
      <c r="C345" s="219" t="n"/>
      <c r="D345" s="14" t="n"/>
      <c r="E345" s="11" t="n"/>
      <c r="F345" s="5" t="n"/>
      <c r="G345" s="6" t="n"/>
      <c r="H345" s="15" t="n"/>
      <c r="I345" s="12" t="n"/>
      <c r="J345" s="13" t="n"/>
      <c r="K345" s="244" t="inlineStr">
        <is>
          <t xml:space="preserve"> Toplam</t>
        </is>
      </c>
      <c r="L345" s="218" t="n"/>
      <c r="M345" s="218" t="n"/>
      <c r="N345" s="219" t="n"/>
      <c r="O345" s="16">
        <f>SUM(O336:O344)</f>
        <v/>
      </c>
    </row>
    <row r="346" ht="26.25" customHeight="1">
      <c r="B346" s="243" t="n"/>
      <c r="C346" s="219" t="n"/>
      <c r="D346" s="14" t="n"/>
      <c r="E346" s="11" t="n"/>
      <c r="F346" s="5" t="n"/>
      <c r="G346" s="6" t="n"/>
      <c r="H346" s="15" t="n"/>
      <c r="I346" s="12" t="n"/>
      <c r="J346" s="13" t="n"/>
      <c r="K346" s="245" t="inlineStr">
        <is>
          <t>GÜNLÜK GELEN MALZEME LİSTESİ</t>
        </is>
      </c>
      <c r="L346" s="218" t="n"/>
      <c r="M346" s="218" t="n"/>
      <c r="N346" s="218" t="n"/>
      <c r="O346" s="220" t="n"/>
    </row>
    <row r="347" ht="26.25" customHeight="1">
      <c r="A347" s="1" t="inlineStr">
        <is>
          <t xml:space="preserve"> </t>
        </is>
      </c>
      <c r="B347" s="243" t="n"/>
      <c r="C347" s="219" t="n"/>
      <c r="D347" s="3" t="n"/>
      <c r="E347" s="17" t="n"/>
      <c r="F347" s="5" t="n"/>
      <c r="G347" s="6" t="n"/>
      <c r="H347" s="15" t="n"/>
      <c r="I347" s="18" t="n"/>
      <c r="J347" s="13" t="n"/>
      <c r="K347" s="246" t="n"/>
      <c r="L347" s="218" t="n"/>
      <c r="M347" s="219" t="n"/>
      <c r="N347" s="16" t="n"/>
      <c r="O347" s="220" t="n"/>
    </row>
    <row r="348" ht="26.25" customHeight="1">
      <c r="B348" s="243" t="n"/>
      <c r="C348" s="219" t="n"/>
      <c r="D348" s="3" t="n"/>
      <c r="E348" s="17" t="n"/>
      <c r="F348" s="5" t="n"/>
      <c r="G348" s="6" t="n"/>
      <c r="H348" s="15" t="n"/>
      <c r="I348" s="18" t="n"/>
      <c r="J348" s="13" t="n"/>
      <c r="K348" s="246" t="n"/>
      <c r="L348" s="218" t="n"/>
      <c r="M348" s="219" t="n"/>
      <c r="N348" s="16" t="n"/>
      <c r="O348" s="220" t="n"/>
    </row>
    <row r="349" ht="26.25" customHeight="1">
      <c r="B349" s="21" t="n"/>
      <c r="C349" s="219" t="n"/>
      <c r="D349" s="19" t="n"/>
      <c r="E349" s="20" t="n"/>
      <c r="F349" s="5" t="n"/>
      <c r="G349" s="21" t="n"/>
      <c r="H349" s="22" t="n"/>
      <c r="I349" s="23" t="n"/>
      <c r="J349" s="13" t="n"/>
      <c r="K349" s="246" t="n"/>
      <c r="L349" s="218" t="n"/>
      <c r="M349" s="219" t="n"/>
      <c r="N349" s="247" t="n"/>
      <c r="O349" s="220" t="n"/>
    </row>
    <row r="350" ht="27" customHeight="1">
      <c r="B350" s="27" t="inlineStr">
        <is>
          <t>Toplam</t>
        </is>
      </c>
      <c r="C350" s="219" t="n"/>
      <c r="D350" s="24">
        <f>SUM(D336:D349)</f>
        <v/>
      </c>
      <c r="E350" s="25" t="inlineStr">
        <is>
          <t>G. Toplam</t>
        </is>
      </c>
      <c r="F350" s="58">
        <f>SUM(F336:F349)</f>
        <v/>
      </c>
      <c r="G350" s="27" t="inlineStr">
        <is>
          <t>Toplam</t>
        </is>
      </c>
      <c r="H350" s="28">
        <f>SUM(H336:H349)</f>
        <v/>
      </c>
      <c r="I350" s="29" t="inlineStr">
        <is>
          <t>G. Toplam</t>
        </is>
      </c>
      <c r="J350" s="26">
        <f>SUM(J336:J349)</f>
        <v/>
      </c>
      <c r="K350" s="246" t="n"/>
      <c r="L350" s="218" t="n"/>
      <c r="M350" s="219" t="n"/>
      <c r="N350" s="247" t="n"/>
      <c r="O350" s="220" t="n"/>
    </row>
    <row r="351" ht="27" customHeight="1" thickBot="1">
      <c r="B351" s="143" t="inlineStr">
        <is>
          <t>GENEL TOPLAM</t>
        </is>
      </c>
      <c r="C351" s="222" t="n"/>
      <c r="D351" s="222" t="n"/>
      <c r="E351" s="222" t="n"/>
      <c r="F351" s="222" t="n"/>
      <c r="G351" s="222" t="n"/>
      <c r="H351" s="222" t="n"/>
      <c r="I351" s="222" t="n"/>
      <c r="J351" s="30">
        <f>F350+J350</f>
        <v/>
      </c>
      <c r="K351" s="246" t="n"/>
      <c r="L351" s="218" t="n"/>
      <c r="M351" s="219" t="n"/>
      <c r="N351" s="247" t="n"/>
      <c r="O351" s="220" t="n"/>
    </row>
    <row r="352" ht="12.6" customHeight="1">
      <c r="B352" s="248" t="inlineStr">
        <is>
          <t>ALTYÜKLENİCİ EKİPLERİ PUANTAJI</t>
        </is>
      </c>
      <c r="C352" s="228" t="n"/>
      <c r="D352" s="228" t="n"/>
      <c r="E352" s="228" t="n"/>
      <c r="F352" s="228" t="n"/>
      <c r="G352" s="228" t="n"/>
      <c r="H352" s="228" t="n"/>
      <c r="I352" s="228" t="n"/>
      <c r="J352" s="228" t="n"/>
      <c r="K352" s="228" t="n"/>
      <c r="L352" s="228" t="n"/>
      <c r="M352" s="228" t="n"/>
      <c r="N352" s="228" t="n"/>
      <c r="O352" s="249" t="n"/>
    </row>
    <row r="353" ht="8.4" customHeight="1">
      <c r="B353" s="239" t="n"/>
      <c r="C353" s="250" t="n"/>
      <c r="D353" s="250" t="n"/>
      <c r="E353" s="250" t="n"/>
      <c r="F353" s="250" t="n"/>
      <c r="G353" s="250" t="n"/>
      <c r="H353" s="250" t="n"/>
      <c r="I353" s="250" t="n"/>
      <c r="J353" s="250" t="n"/>
      <c r="K353" s="250" t="n"/>
      <c r="L353" s="250" t="n"/>
      <c r="M353" s="250" t="n"/>
      <c r="N353" s="250" t="n"/>
      <c r="O353" s="251" t="n"/>
    </row>
    <row r="354" ht="22.5" customHeight="1">
      <c r="B354" s="127" t="inlineStr">
        <is>
          <t>KABA İNŞAAT EKİBİ</t>
        </is>
      </c>
      <c r="C354" s="218" t="n"/>
      <c r="D354" s="218" t="n"/>
      <c r="E354" s="219" t="n"/>
      <c r="F354" s="129" t="inlineStr">
        <is>
          <t>EKİP</t>
        </is>
      </c>
      <c r="G354" s="218" t="n"/>
      <c r="H354" s="218" t="n"/>
      <c r="I354" s="219" t="n"/>
      <c r="J354" s="133" t="inlineStr">
        <is>
          <t>HAFRİYAT EKİBİ</t>
        </is>
      </c>
      <c r="K354" s="218" t="n"/>
      <c r="L354" s="219" t="n"/>
      <c r="M354" s="134" t="inlineStr">
        <is>
          <t>İZOLASYON EKİBİ</t>
        </is>
      </c>
      <c r="N354" s="218" t="n"/>
      <c r="O354" s="219" t="n"/>
    </row>
    <row r="355" ht="26.25" customHeight="1">
      <c r="B355" s="127" t="inlineStr">
        <is>
          <t>PERSONEL</t>
        </is>
      </c>
      <c r="C355" s="219" t="n"/>
      <c r="D355" s="34" t="inlineStr">
        <is>
          <t>PUANTAJ</t>
        </is>
      </c>
      <c r="E355" s="128" t="inlineStr">
        <is>
          <t>KÜMÜLATİF PUANTAJ</t>
        </is>
      </c>
      <c r="F355" s="129" t="inlineStr">
        <is>
          <t>PERSONEL</t>
        </is>
      </c>
      <c r="G355" s="219" t="n"/>
      <c r="H355" s="35" t="inlineStr">
        <is>
          <t>PUANTAJ</t>
        </is>
      </c>
      <c r="I355" s="129" t="inlineStr">
        <is>
          <t>KÜMÜLATİF PUANTAJ</t>
        </is>
      </c>
      <c r="J355" s="133" t="inlineStr">
        <is>
          <t>PERSONEL</t>
        </is>
      </c>
      <c r="K355" s="34" t="inlineStr">
        <is>
          <t>PUANTAJ</t>
        </is>
      </c>
      <c r="L355" s="128" t="inlineStr">
        <is>
          <t>KÜMÜLATİF PUANTAJ</t>
        </is>
      </c>
      <c r="M355" s="36" t="inlineStr">
        <is>
          <t>PERSONEL</t>
        </is>
      </c>
      <c r="N355" s="35" t="inlineStr">
        <is>
          <t>PUANTAJ</t>
        </is>
      </c>
      <c r="O355" s="37" t="inlineStr">
        <is>
          <t>KÜMÜLATİF PUANTAJ</t>
        </is>
      </c>
    </row>
    <row r="356" ht="21" customFormat="1" customHeight="1" s="38">
      <c r="B356" s="107" t="inlineStr">
        <is>
          <t>Saha Mühendisi</t>
        </is>
      </c>
      <c r="C356" s="219" t="n"/>
      <c r="D356" s="39" t="n">
        <v>0</v>
      </c>
      <c r="E356" s="40">
        <f>D356</f>
        <v/>
      </c>
      <c r="F356" s="109" t="inlineStr">
        <is>
          <t>Saha Mühendisi</t>
        </is>
      </c>
      <c r="G356" s="219" t="n"/>
      <c r="H356" s="15" t="n">
        <v>0</v>
      </c>
      <c r="I356" s="41">
        <f>H356</f>
        <v/>
      </c>
      <c r="J356" s="42" t="inlineStr">
        <is>
          <t>Saha Mühendisi</t>
        </is>
      </c>
      <c r="K356" s="39" t="n">
        <v>0</v>
      </c>
      <c r="L356" s="40">
        <f>K356</f>
        <v/>
      </c>
      <c r="M356" s="43" t="inlineStr">
        <is>
          <t>Saha Mühendisi</t>
        </is>
      </c>
      <c r="N356" s="15" t="n">
        <v>0</v>
      </c>
      <c r="O356" s="10">
        <f>N356</f>
        <v/>
      </c>
    </row>
    <row r="357" ht="21" customFormat="1" customHeight="1" s="38">
      <c r="B357" s="107" t="inlineStr">
        <is>
          <t>Kalfa (Formen)</t>
        </is>
      </c>
      <c r="C357" s="219" t="n"/>
      <c r="D357" s="39" t="n">
        <v>0</v>
      </c>
      <c r="E357" s="40">
        <f>D357</f>
        <v/>
      </c>
      <c r="F357" s="109" t="inlineStr">
        <is>
          <t>Kalfa</t>
        </is>
      </c>
      <c r="G357" s="219" t="n"/>
      <c r="H357" s="15" t="n">
        <v>0</v>
      </c>
      <c r="I357" s="41">
        <f>H357</f>
        <v/>
      </c>
      <c r="J357" s="42" t="inlineStr">
        <is>
          <t>Kalfa</t>
        </is>
      </c>
      <c r="K357" s="39" t="n">
        <v>0</v>
      </c>
      <c r="L357" s="40">
        <f>K357</f>
        <v/>
      </c>
      <c r="M357" s="43" t="inlineStr">
        <is>
          <t>Kalfa</t>
        </is>
      </c>
      <c r="N357" s="15" t="n">
        <v>0</v>
      </c>
      <c r="O357" s="10">
        <f>N357</f>
        <v/>
      </c>
    </row>
    <row r="358" ht="21" customFormat="1" customHeight="1" s="38">
      <c r="B358" s="107" t="inlineStr">
        <is>
          <t>Usta ( Kalıpçı)</t>
        </is>
      </c>
      <c r="C358" s="219" t="n"/>
      <c r="D358" s="39" t="n">
        <v>0</v>
      </c>
      <c r="E358" s="40">
        <f>D358</f>
        <v/>
      </c>
      <c r="F358" s="109" t="inlineStr">
        <is>
          <t>Usta</t>
        </is>
      </c>
      <c r="G358" s="219" t="n"/>
      <c r="H358" s="15" t="n">
        <v>0</v>
      </c>
      <c r="I358" s="41">
        <f>H358</f>
        <v/>
      </c>
      <c r="J358" s="42" t="inlineStr">
        <is>
          <t>Topograf</t>
        </is>
      </c>
      <c r="K358" s="39" t="n">
        <v>0</v>
      </c>
      <c r="L358" s="40">
        <f>K358</f>
        <v/>
      </c>
      <c r="M358" s="43" t="inlineStr">
        <is>
          <t xml:space="preserve">Usta </t>
        </is>
      </c>
      <c r="N358" s="15" t="n">
        <v>0</v>
      </c>
      <c r="O358" s="10">
        <f>N358</f>
        <v/>
      </c>
    </row>
    <row r="359" ht="21" customFormat="1" customHeight="1" s="38">
      <c r="B359" s="107" t="inlineStr">
        <is>
          <t>Usta ( Demirci)</t>
        </is>
      </c>
      <c r="C359" s="219" t="n"/>
      <c r="D359" s="39" t="n">
        <v>0</v>
      </c>
      <c r="E359" s="40">
        <f>D359</f>
        <v/>
      </c>
      <c r="F359" s="109" t="inlineStr">
        <is>
          <t>Beden İşçisi</t>
        </is>
      </c>
      <c r="G359" s="219" t="n"/>
      <c r="H359" s="15" t="n">
        <v>0</v>
      </c>
      <c r="I359" s="41">
        <f>H359</f>
        <v/>
      </c>
      <c r="J359" s="42" t="inlineStr">
        <is>
          <t>Beden İşçisi</t>
        </is>
      </c>
      <c r="K359" s="39" t="n">
        <v>0</v>
      </c>
      <c r="L359" s="40">
        <f>K359</f>
        <v/>
      </c>
      <c r="M359" s="43" t="inlineStr">
        <is>
          <t>Beden İşçisi</t>
        </is>
      </c>
      <c r="N359" s="15" t="n">
        <v>0</v>
      </c>
      <c r="O359" s="10">
        <f>N359</f>
        <v/>
      </c>
    </row>
    <row r="360" ht="21" customFormat="1" customHeight="1" s="38">
      <c r="B360" s="107" t="inlineStr">
        <is>
          <t>Beden İşçisi</t>
        </is>
      </c>
      <c r="C360" s="219" t="n"/>
      <c r="D360" s="39" t="n">
        <v>0</v>
      </c>
      <c r="E360" s="40">
        <f>D360</f>
        <v/>
      </c>
      <c r="F360" s="109" t="inlineStr">
        <is>
          <t>İş. Mak. Opr.</t>
        </is>
      </c>
      <c r="G360" s="219" t="n"/>
      <c r="H360" s="15" t="n">
        <v>0</v>
      </c>
      <c r="I360" s="41">
        <f>H360</f>
        <v/>
      </c>
      <c r="J360" s="42" t="inlineStr">
        <is>
          <t>İş. Mak. Opr. (Eks.)</t>
        </is>
      </c>
      <c r="K360" s="39" t="n">
        <v>0</v>
      </c>
      <c r="L360" s="40">
        <f>K360</f>
        <v/>
      </c>
      <c r="M360" s="43" t="n"/>
      <c r="N360" s="15" t="n"/>
      <c r="O360" s="10" t="n"/>
    </row>
    <row r="361" ht="21" customFormat="1" customHeight="1" s="38">
      <c r="B361" s="107" t="inlineStr">
        <is>
          <t>İş. Mak. Opr.</t>
        </is>
      </c>
      <c r="C361" s="219" t="n"/>
      <c r="D361" s="39" t="n">
        <v>0</v>
      </c>
      <c r="E361" s="40">
        <f>D361</f>
        <v/>
      </c>
      <c r="F361" s="109" t="inlineStr">
        <is>
          <t>Test Ekibi</t>
        </is>
      </c>
      <c r="G361" s="219" t="n"/>
      <c r="H361" s="15" t="n">
        <v>0</v>
      </c>
      <c r="I361" s="41">
        <f>H361</f>
        <v/>
      </c>
      <c r="J361" s="42" t="inlineStr">
        <is>
          <t>Şoför (Kamyon)</t>
        </is>
      </c>
      <c r="K361" s="39" t="n">
        <v>0</v>
      </c>
      <c r="L361" s="40">
        <f>K361</f>
        <v/>
      </c>
      <c r="M361" s="43" t="n"/>
      <c r="N361" s="15" t="n"/>
      <c r="O361" s="10" t="n"/>
    </row>
    <row r="362" ht="21" customHeight="1">
      <c r="B362" s="130" t="inlineStr">
        <is>
          <t>TOPLAMLAR</t>
        </is>
      </c>
      <c r="C362" s="219" t="n"/>
      <c r="D362" s="34">
        <f>SUM(D356:D361)</f>
        <v/>
      </c>
      <c r="E362" s="34">
        <f>SUM(E356:E361)</f>
        <v/>
      </c>
      <c r="F362" s="132" t="inlineStr">
        <is>
          <t>TOPLAMLAR</t>
        </is>
      </c>
      <c r="G362" s="219" t="n"/>
      <c r="H362" s="35">
        <f>SUM(H356:H361)</f>
        <v/>
      </c>
      <c r="I362" s="35">
        <f>SUM(I356:I361)</f>
        <v/>
      </c>
      <c r="J362" s="133" t="inlineStr">
        <is>
          <t>TOPLAMLAR</t>
        </is>
      </c>
      <c r="K362" s="34">
        <f>SUM(K356:K361)</f>
        <v/>
      </c>
      <c r="L362" s="34">
        <f>SUM(L356:L361)</f>
        <v/>
      </c>
      <c r="M362" s="36" t="inlineStr">
        <is>
          <t>TOPLAMLAR</t>
        </is>
      </c>
      <c r="N362" s="35">
        <f>SUM(N356:N361)</f>
        <v/>
      </c>
      <c r="O362" s="44">
        <f>SUM(O356:O361)</f>
        <v/>
      </c>
    </row>
    <row r="363" ht="10.95" customHeight="1">
      <c r="B363" s="252" t="n"/>
      <c r="C363" s="218" t="n"/>
      <c r="D363" s="218" t="n"/>
      <c r="E363" s="218" t="n"/>
      <c r="F363" s="218" t="n"/>
      <c r="G363" s="218" t="n"/>
      <c r="H363" s="218" t="n"/>
      <c r="I363" s="218" t="n"/>
      <c r="J363" s="218" t="n"/>
      <c r="K363" s="218" t="n"/>
      <c r="L363" s="218" t="n"/>
      <c r="M363" s="218" t="n"/>
      <c r="N363" s="218" t="n"/>
      <c r="O363" s="220" t="n"/>
    </row>
    <row r="364" ht="26.25" customHeight="1">
      <c r="B364" s="127" t="inlineStr">
        <is>
          <t>EKİP</t>
        </is>
      </c>
      <c r="C364" s="218" t="n"/>
      <c r="D364" s="218" t="n"/>
      <c r="E364" s="219" t="n"/>
      <c r="F364" s="129" t="inlineStr">
        <is>
          <t xml:space="preserve">CEPHE- ÇATI EKİBİ </t>
        </is>
      </c>
      <c r="G364" s="218" t="n"/>
      <c r="H364" s="218" t="n"/>
      <c r="I364" s="219" t="n"/>
      <c r="J364" s="133" t="inlineStr">
        <is>
          <t xml:space="preserve">MEKANİK EKİBİ </t>
        </is>
      </c>
      <c r="K364" s="218" t="n"/>
      <c r="L364" s="219" t="n"/>
      <c r="M364" s="134" t="inlineStr">
        <is>
          <t xml:space="preserve">ELEKTRİK EKİBİ </t>
        </is>
      </c>
      <c r="N364" s="218" t="n"/>
      <c r="O364" s="219" t="n"/>
    </row>
    <row r="365" ht="26.25" customHeight="1">
      <c r="B365" s="127" t="inlineStr">
        <is>
          <t>PERSONEL</t>
        </is>
      </c>
      <c r="C365" s="219" t="n"/>
      <c r="D365" s="34" t="inlineStr">
        <is>
          <t>PUANTAJ</t>
        </is>
      </c>
      <c r="E365" s="128" t="inlineStr">
        <is>
          <t>KÜMÜLATİF PUANTAJ</t>
        </is>
      </c>
      <c r="F365" s="129" t="inlineStr">
        <is>
          <t>PERSONEL</t>
        </is>
      </c>
      <c r="G365" s="219" t="n"/>
      <c r="H365" s="35" t="inlineStr">
        <is>
          <t>PUANTAJ</t>
        </is>
      </c>
      <c r="I365" s="129" t="inlineStr">
        <is>
          <t>KÜMÜLATİF PUANTAJ</t>
        </is>
      </c>
      <c r="J365" s="133" t="inlineStr">
        <is>
          <t>PERSONEL</t>
        </is>
      </c>
      <c r="K365" s="34" t="inlineStr">
        <is>
          <t>PUANTAJ</t>
        </is>
      </c>
      <c r="L365" s="128" t="inlineStr">
        <is>
          <t>KÜMÜLATİF PUANTAJ</t>
        </is>
      </c>
      <c r="M365" s="36" t="inlineStr">
        <is>
          <t>PERSONEL</t>
        </is>
      </c>
      <c r="N365" s="35" t="inlineStr">
        <is>
          <t>PUANTAJ</t>
        </is>
      </c>
      <c r="O365" s="37" t="inlineStr">
        <is>
          <t>KÜMÜLATİF PUANTAJ</t>
        </is>
      </c>
    </row>
    <row r="366" ht="21" customHeight="1">
      <c r="B366" s="107" t="inlineStr">
        <is>
          <t>Saha Mühendisi</t>
        </is>
      </c>
      <c r="C366" s="219" t="n"/>
      <c r="D366" s="39" t="n">
        <v>0</v>
      </c>
      <c r="E366" s="39">
        <f>D366</f>
        <v/>
      </c>
      <c r="F366" s="109" t="inlineStr">
        <is>
          <t>Saha Mühendisi</t>
        </is>
      </c>
      <c r="G366" s="219" t="n"/>
      <c r="H366" s="15" t="n">
        <v>0</v>
      </c>
      <c r="I366" s="15">
        <f>H366</f>
        <v/>
      </c>
      <c r="J366" s="42" t="inlineStr">
        <is>
          <t>Saha Mühendisi</t>
        </is>
      </c>
      <c r="K366" s="39" t="n">
        <v>0</v>
      </c>
      <c r="L366" s="39">
        <f>K366</f>
        <v/>
      </c>
      <c r="M366" s="43" t="inlineStr">
        <is>
          <t>Saha Mühendisi</t>
        </is>
      </c>
      <c r="N366" s="15" t="n">
        <v>0</v>
      </c>
      <c r="O366" s="10">
        <f>N366</f>
        <v/>
      </c>
    </row>
    <row r="367" ht="21" customHeight="1">
      <c r="B367" s="107" t="inlineStr">
        <is>
          <t>Kalfa</t>
        </is>
      </c>
      <c r="C367" s="219" t="n"/>
      <c r="D367" s="39" t="n">
        <v>0</v>
      </c>
      <c r="E367" s="39">
        <f>D367</f>
        <v/>
      </c>
      <c r="F367" s="109" t="inlineStr">
        <is>
          <t>Kalfa</t>
        </is>
      </c>
      <c r="G367" s="219" t="n"/>
      <c r="H367" s="15" t="n">
        <v>0</v>
      </c>
      <c r="I367" s="15">
        <f>H367</f>
        <v/>
      </c>
      <c r="J367" s="42" t="inlineStr">
        <is>
          <t>Kalfa</t>
        </is>
      </c>
      <c r="K367" s="39" t="n">
        <v>0</v>
      </c>
      <c r="L367" s="39">
        <f>K367</f>
        <v/>
      </c>
      <c r="M367" s="43" t="inlineStr">
        <is>
          <t>Kalfa</t>
        </is>
      </c>
      <c r="N367" s="15" t="n">
        <v>0</v>
      </c>
      <c r="O367" s="10">
        <f>N367</f>
        <v/>
      </c>
    </row>
    <row r="368" ht="21" customHeight="1">
      <c r="B368" s="107" t="inlineStr">
        <is>
          <t xml:space="preserve">Usta </t>
        </is>
      </c>
      <c r="C368" s="219" t="n"/>
      <c r="D368" s="39" t="n">
        <v>0</v>
      </c>
      <c r="E368" s="39">
        <f>D368</f>
        <v/>
      </c>
      <c r="F368" s="109" t="inlineStr">
        <is>
          <t xml:space="preserve">Usta </t>
        </is>
      </c>
      <c r="G368" s="219" t="n"/>
      <c r="H368" s="15" t="n">
        <v>0</v>
      </c>
      <c r="I368" s="15">
        <f>H368</f>
        <v/>
      </c>
      <c r="J368" s="42" t="inlineStr">
        <is>
          <t xml:space="preserve">Usta </t>
        </is>
      </c>
      <c r="K368" s="39" t="n">
        <v>0</v>
      </c>
      <c r="L368" s="39">
        <f>K368</f>
        <v/>
      </c>
      <c r="M368" s="43" t="inlineStr">
        <is>
          <t xml:space="preserve">Usta </t>
        </is>
      </c>
      <c r="N368" s="15" t="n">
        <v>0</v>
      </c>
      <c r="O368" s="10">
        <f>N368</f>
        <v/>
      </c>
    </row>
    <row r="369" ht="21" customHeight="1">
      <c r="B369" s="107" t="inlineStr">
        <is>
          <t>Beden İşçisi</t>
        </is>
      </c>
      <c r="C369" s="219" t="n"/>
      <c r="D369" s="39" t="n">
        <v>0</v>
      </c>
      <c r="E369" s="39">
        <f>D369</f>
        <v/>
      </c>
      <c r="F369" s="109" t="inlineStr">
        <is>
          <t>Beden İşçisi</t>
        </is>
      </c>
      <c r="G369" s="219" t="n"/>
      <c r="H369" s="15" t="n">
        <v>0</v>
      </c>
      <c r="I369" s="15">
        <f>H369</f>
        <v/>
      </c>
      <c r="J369" s="42" t="inlineStr">
        <is>
          <t>Beden İşçisi</t>
        </is>
      </c>
      <c r="K369" s="39" t="n">
        <v>0</v>
      </c>
      <c r="L369" s="39">
        <f>K369</f>
        <v/>
      </c>
      <c r="M369" s="43" t="inlineStr">
        <is>
          <t>Beden İşçisi</t>
        </is>
      </c>
      <c r="N369" s="15" t="n">
        <v>0</v>
      </c>
      <c r="O369" s="10">
        <f>N369</f>
        <v/>
      </c>
    </row>
    <row r="370" ht="21" customHeight="1">
      <c r="B370" s="107" t="inlineStr">
        <is>
          <t>İş. Mak. Opr.</t>
        </is>
      </c>
      <c r="C370" s="219" t="n"/>
      <c r="D370" s="39" t="n">
        <v>0</v>
      </c>
      <c r="E370" s="39">
        <f>D370</f>
        <v/>
      </c>
      <c r="F370" s="109" t="inlineStr">
        <is>
          <t>İş. Mak. Opr.</t>
        </is>
      </c>
      <c r="G370" s="219" t="n"/>
      <c r="H370" s="15" t="n">
        <v>0</v>
      </c>
      <c r="I370" s="15">
        <f>H370</f>
        <v/>
      </c>
      <c r="J370" s="42" t="inlineStr">
        <is>
          <t>İş. Mak. Opr.</t>
        </is>
      </c>
      <c r="K370" s="39" t="n">
        <v>0</v>
      </c>
      <c r="L370" s="39">
        <f>K370</f>
        <v/>
      </c>
      <c r="M370" s="43" t="inlineStr">
        <is>
          <t>İş. Mak. Opr.</t>
        </is>
      </c>
      <c r="N370" s="15" t="n">
        <v>0</v>
      </c>
      <c r="O370" s="10">
        <f>N370</f>
        <v/>
      </c>
    </row>
    <row r="371" ht="21" customFormat="1" customHeight="1" s="45">
      <c r="B371" s="130" t="inlineStr">
        <is>
          <t>TOPLAMLAR</t>
        </is>
      </c>
      <c r="C371" s="219" t="n"/>
      <c r="D371" s="34">
        <f>SUM(D365:D370)</f>
        <v/>
      </c>
      <c r="E371" s="34">
        <f>SUM(E366:E370)</f>
        <v/>
      </c>
      <c r="F371" s="132" t="inlineStr">
        <is>
          <t>TOPLAMLAR</t>
        </is>
      </c>
      <c r="G371" s="219" t="n"/>
      <c r="H371" s="35">
        <f>SUM(H365:H370)</f>
        <v/>
      </c>
      <c r="I371" s="35">
        <f>SUM(I366:I370)</f>
        <v/>
      </c>
      <c r="J371" s="133" t="inlineStr">
        <is>
          <t>TOPLAMLAR</t>
        </is>
      </c>
      <c r="K371" s="34">
        <f>SUM(K365:K370)</f>
        <v/>
      </c>
      <c r="L371" s="34">
        <f>SUM(L366:L370)</f>
        <v/>
      </c>
      <c r="M371" s="36" t="inlineStr">
        <is>
          <t>TOPLAMLAR</t>
        </is>
      </c>
      <c r="N371" s="35">
        <f>SUM(N365:N370)</f>
        <v/>
      </c>
      <c r="O371" s="44">
        <f>SUM(O366:O370)</f>
        <v/>
      </c>
    </row>
    <row r="372" ht="10.95" customHeight="1">
      <c r="B372" s="252" t="n"/>
      <c r="C372" s="218" t="n"/>
      <c r="D372" s="218" t="n"/>
      <c r="E372" s="218" t="n"/>
      <c r="F372" s="218" t="n"/>
      <c r="G372" s="218" t="n"/>
      <c r="H372" s="218" t="n"/>
      <c r="I372" s="218" t="n"/>
      <c r="J372" s="218" t="n"/>
      <c r="K372" s="218" t="n"/>
      <c r="L372" s="218" t="n"/>
      <c r="M372" s="218" t="n"/>
      <c r="N372" s="218" t="n"/>
      <c r="O372" s="220" t="n"/>
    </row>
    <row r="373" ht="26.25" customHeight="1">
      <c r="B373" s="127" t="inlineStr">
        <is>
          <t>EKİP</t>
        </is>
      </c>
      <c r="C373" s="218" t="n"/>
      <c r="D373" s="218" t="n"/>
      <c r="E373" s="219" t="n"/>
      <c r="F373" s="129" t="inlineStr">
        <is>
          <t>EKİP</t>
        </is>
      </c>
      <c r="G373" s="218" t="n"/>
      <c r="H373" s="218" t="n"/>
      <c r="I373" s="219" t="n"/>
      <c r="J373" s="133" t="inlineStr">
        <is>
          <t>EKİP</t>
        </is>
      </c>
      <c r="K373" s="218" t="n"/>
      <c r="L373" s="219" t="n"/>
      <c r="M373" s="133" t="inlineStr">
        <is>
          <t>EKİP</t>
        </is>
      </c>
      <c r="N373" s="218" t="n"/>
      <c r="O373" s="219" t="n"/>
    </row>
    <row r="374" ht="26.25" customHeight="1">
      <c r="B374" s="127" t="inlineStr">
        <is>
          <t>PERSONEL</t>
        </is>
      </c>
      <c r="C374" s="219" t="n"/>
      <c r="D374" s="34" t="inlineStr">
        <is>
          <t>PUANTAJ</t>
        </is>
      </c>
      <c r="E374" s="128" t="inlineStr">
        <is>
          <t>KÜMÜLATİF PUANTAJ</t>
        </is>
      </c>
      <c r="F374" s="129" t="inlineStr">
        <is>
          <t>PERSONEL</t>
        </is>
      </c>
      <c r="G374" s="219" t="n"/>
      <c r="H374" s="35" t="inlineStr">
        <is>
          <t>PUANTAJ</t>
        </is>
      </c>
      <c r="I374" s="129" t="inlineStr">
        <is>
          <t>KÜMÜLATİF PUANTAJ</t>
        </is>
      </c>
      <c r="J374" s="133" t="inlineStr">
        <is>
          <t>PERSONEL</t>
        </is>
      </c>
      <c r="K374" s="34" t="inlineStr">
        <is>
          <t>PUANTAJ</t>
        </is>
      </c>
      <c r="L374" s="128" t="inlineStr">
        <is>
          <t>KÜMÜLATİF PUANTAJ</t>
        </is>
      </c>
      <c r="M374" s="36" t="inlineStr">
        <is>
          <t>PERSONEL</t>
        </is>
      </c>
      <c r="N374" s="35" t="inlineStr">
        <is>
          <t>PUANTAJ</t>
        </is>
      </c>
      <c r="O374" s="37" t="inlineStr">
        <is>
          <t>KÜMÜLATİF PUANTAJ</t>
        </is>
      </c>
    </row>
    <row r="375" ht="22.2" customHeight="1">
      <c r="B375" s="107" t="inlineStr">
        <is>
          <t>Saha Mühendisi</t>
        </is>
      </c>
      <c r="C375" s="219" t="n"/>
      <c r="D375" s="39" t="n">
        <v>0</v>
      </c>
      <c r="E375" s="39">
        <f>D375</f>
        <v/>
      </c>
      <c r="F375" s="109" t="inlineStr">
        <is>
          <t>Saha Mühendisi</t>
        </is>
      </c>
      <c r="G375" s="219" t="n"/>
      <c r="H375" s="15" t="n">
        <v>0</v>
      </c>
      <c r="I375" s="15">
        <f>H375</f>
        <v/>
      </c>
      <c r="J375" s="42" t="inlineStr">
        <is>
          <t>Saha Mühendisi</t>
        </is>
      </c>
      <c r="K375" s="39" t="n">
        <v>0</v>
      </c>
      <c r="L375" s="39">
        <f>K375</f>
        <v/>
      </c>
      <c r="M375" s="43" t="inlineStr">
        <is>
          <t>Saha Mühendisi</t>
        </is>
      </c>
      <c r="N375" s="15" t="n">
        <v>0</v>
      </c>
      <c r="O375" s="10">
        <f>N375</f>
        <v/>
      </c>
    </row>
    <row r="376" ht="22.2" customHeight="1">
      <c r="B376" s="107" t="inlineStr">
        <is>
          <t>Kalfa</t>
        </is>
      </c>
      <c r="C376" s="219" t="n"/>
      <c r="D376" s="39" t="n">
        <v>0</v>
      </c>
      <c r="E376" s="39">
        <f>D376</f>
        <v/>
      </c>
      <c r="F376" s="109" t="inlineStr">
        <is>
          <t>Kalfa</t>
        </is>
      </c>
      <c r="G376" s="219" t="n"/>
      <c r="H376" s="15" t="n">
        <v>0</v>
      </c>
      <c r="I376" s="15">
        <f>H376</f>
        <v/>
      </c>
      <c r="J376" s="42" t="inlineStr">
        <is>
          <t>Kalfa</t>
        </is>
      </c>
      <c r="K376" s="39" t="n">
        <v>0</v>
      </c>
      <c r="L376" s="39">
        <f>K376</f>
        <v/>
      </c>
      <c r="M376" s="43" t="inlineStr">
        <is>
          <t>Kalfa</t>
        </is>
      </c>
      <c r="N376" s="15" t="n">
        <v>0</v>
      </c>
      <c r="O376" s="10">
        <f>N376</f>
        <v/>
      </c>
    </row>
    <row r="377" ht="22.2" customHeight="1">
      <c r="B377" s="107" t="inlineStr">
        <is>
          <t xml:space="preserve">Usta </t>
        </is>
      </c>
      <c r="C377" s="219" t="n"/>
      <c r="D377" s="39" t="n">
        <v>0</v>
      </c>
      <c r="E377" s="39">
        <f>D377</f>
        <v/>
      </c>
      <c r="F377" s="109" t="inlineStr">
        <is>
          <t xml:space="preserve">Usta </t>
        </is>
      </c>
      <c r="G377" s="219" t="n"/>
      <c r="H377" s="15" t="n">
        <v>0</v>
      </c>
      <c r="I377" s="15">
        <f>H377</f>
        <v/>
      </c>
      <c r="J377" s="42" t="inlineStr">
        <is>
          <t xml:space="preserve">Usta </t>
        </is>
      </c>
      <c r="K377" s="39" t="n">
        <v>0</v>
      </c>
      <c r="L377" s="39">
        <f>K377</f>
        <v/>
      </c>
      <c r="M377" s="43" t="inlineStr">
        <is>
          <t xml:space="preserve">Usta </t>
        </is>
      </c>
      <c r="N377" s="15" t="n">
        <v>0</v>
      </c>
      <c r="O377" s="10">
        <f>N377</f>
        <v/>
      </c>
    </row>
    <row r="378" ht="22.2" customHeight="1">
      <c r="B378" s="107" t="inlineStr">
        <is>
          <t>Beden İşçisi</t>
        </is>
      </c>
      <c r="C378" s="219" t="n"/>
      <c r="D378" s="39" t="n">
        <v>0</v>
      </c>
      <c r="E378" s="39">
        <f>D378</f>
        <v/>
      </c>
      <c r="F378" s="109" t="inlineStr">
        <is>
          <t>Beden İşçisi</t>
        </is>
      </c>
      <c r="G378" s="219" t="n"/>
      <c r="H378" s="15" t="n">
        <v>0</v>
      </c>
      <c r="I378" s="15">
        <f>H378</f>
        <v/>
      </c>
      <c r="J378" s="42" t="inlineStr">
        <is>
          <t>Beden İşçisi</t>
        </is>
      </c>
      <c r="K378" s="39" t="n">
        <v>0</v>
      </c>
      <c r="L378" s="39">
        <f>K378</f>
        <v/>
      </c>
      <c r="M378" s="43" t="inlineStr">
        <is>
          <t>Beden İşçisi</t>
        </is>
      </c>
      <c r="N378" s="15" t="n">
        <v>0</v>
      </c>
      <c r="O378" s="10">
        <f>N378</f>
        <v/>
      </c>
    </row>
    <row r="379" ht="22.2" customHeight="1">
      <c r="B379" s="107" t="inlineStr">
        <is>
          <t>İş. Mak. Opr.</t>
        </is>
      </c>
      <c r="C379" s="219" t="n"/>
      <c r="D379" s="39" t="n">
        <v>0</v>
      </c>
      <c r="E379" s="39">
        <f>D379</f>
        <v/>
      </c>
      <c r="F379" s="109" t="inlineStr">
        <is>
          <t>İş. Mak. Opr.</t>
        </is>
      </c>
      <c r="G379" s="219" t="n"/>
      <c r="H379" s="15" t="n">
        <v>0</v>
      </c>
      <c r="I379" s="15">
        <f>H379</f>
        <v/>
      </c>
      <c r="J379" s="42" t="inlineStr">
        <is>
          <t>İş. Mak. Opr.</t>
        </is>
      </c>
      <c r="K379" s="39" t="n">
        <v>0</v>
      </c>
      <c r="L379" s="39">
        <f>K379</f>
        <v/>
      </c>
      <c r="M379" s="43" t="inlineStr">
        <is>
          <t>İş. Mak. Opr.</t>
        </is>
      </c>
      <c r="N379" s="15" t="n">
        <v>0</v>
      </c>
      <c r="O379" s="10">
        <f>N379</f>
        <v/>
      </c>
    </row>
    <row r="380" ht="22.2" customFormat="1" customHeight="1" s="45">
      <c r="B380" s="130" t="inlineStr">
        <is>
          <t>TOPLAMLAR</t>
        </is>
      </c>
      <c r="C380" s="219" t="n"/>
      <c r="D380" s="34">
        <f>SUM(D374:D379)</f>
        <v/>
      </c>
      <c r="E380" s="34">
        <f>SUM(E375:E379)</f>
        <v/>
      </c>
      <c r="F380" s="132" t="inlineStr">
        <is>
          <t>TOPLAMLAR</t>
        </is>
      </c>
      <c r="G380" s="219" t="n"/>
      <c r="H380" s="35">
        <f>SUM(H374:H379)</f>
        <v/>
      </c>
      <c r="I380" s="35">
        <f>SUM(I375:I379)</f>
        <v/>
      </c>
      <c r="J380" s="133" t="inlineStr">
        <is>
          <t>TOPLAMLAR</t>
        </is>
      </c>
      <c r="K380" s="34">
        <f>SUM(K374:K379)</f>
        <v/>
      </c>
      <c r="L380" s="34">
        <f>SUM(L375:L379)</f>
        <v/>
      </c>
      <c r="M380" s="36" t="inlineStr">
        <is>
          <t>TOPLAMLAR</t>
        </is>
      </c>
      <c r="N380" s="35">
        <f>SUM(N374:N379)</f>
        <v/>
      </c>
      <c r="O380" s="44">
        <f>SUM(O375:O379)</f>
        <v/>
      </c>
    </row>
    <row r="381" ht="10.95" customHeight="1">
      <c r="B381" s="252" t="n"/>
      <c r="C381" s="218" t="n"/>
      <c r="D381" s="218" t="n"/>
      <c r="E381" s="218" t="n"/>
      <c r="F381" s="218" t="n"/>
      <c r="G381" s="218" t="n"/>
      <c r="H381" s="218" t="n"/>
      <c r="I381" s="218" t="n"/>
      <c r="J381" s="218" t="n"/>
      <c r="K381" s="218" t="n"/>
      <c r="L381" s="218" t="n"/>
      <c r="M381" s="218" t="n"/>
      <c r="N381" s="218" t="n"/>
      <c r="O381" s="220" t="n"/>
    </row>
    <row r="382" ht="27" customFormat="1" customHeight="1" s="46">
      <c r="B382" s="253" t="inlineStr">
        <is>
          <t>GÜNLÜK TOPLAM</t>
        </is>
      </c>
      <c r="C382" s="218" t="n"/>
      <c r="D382" s="218" t="n"/>
      <c r="E382" s="218" t="n"/>
      <c r="F382" s="218" t="n"/>
      <c r="G382" s="218" t="n"/>
      <c r="H382" s="218" t="n"/>
      <c r="I382" s="218" t="n"/>
      <c r="J382" s="218" t="n"/>
      <c r="K382" s="218" t="n"/>
      <c r="L382" s="218" t="n"/>
      <c r="M382" s="219" t="n"/>
      <c r="N382" s="254">
        <f>D362+H362+K362+N362+D371+H371+K371+N371+D380+H380+K380+N380</f>
        <v/>
      </c>
      <c r="O382" s="220" t="n"/>
    </row>
    <row r="383" ht="27" customFormat="1" customHeight="1" s="46" thickBot="1">
      <c r="B383" s="255" t="inlineStr">
        <is>
          <t>KÜMÜLATİF TOPLAM</t>
        </is>
      </c>
      <c r="C383" s="222" t="n"/>
      <c r="D383" s="222" t="n"/>
      <c r="E383" s="222" t="n"/>
      <c r="F383" s="222" t="n"/>
      <c r="G383" s="222" t="n"/>
      <c r="H383" s="222" t="n"/>
      <c r="I383" s="222" t="n"/>
      <c r="J383" s="222" t="n"/>
      <c r="K383" s="222" t="n"/>
      <c r="L383" s="222" t="n"/>
      <c r="M383" s="223" t="n"/>
      <c r="N383" s="256">
        <f>E362+I362+L362+O362+E371+I371+L371+O371+E380+I380+L380+O380</f>
        <v/>
      </c>
      <c r="O383" s="226" t="n"/>
    </row>
    <row r="384" ht="87" customHeight="1" thickBot="1">
      <c r="B384" s="213" t="n"/>
      <c r="C384" s="214" t="n"/>
      <c r="D384" s="214" t="n"/>
      <c r="E384" s="215" t="n"/>
      <c r="F384" s="97" t="inlineStr">
        <is>
          <t>GÜNLÜK FAALİYET RAPORU
0XXXX-XXX-SGM-XXX-XXX-DPR-IPY-100001</t>
        </is>
      </c>
      <c r="G384" s="214" t="n"/>
      <c r="H384" s="214" t="n"/>
      <c r="I384" s="214" t="n"/>
      <c r="J384" s="214" t="n"/>
      <c r="K384" s="215" t="n"/>
      <c r="L384" s="99" t="inlineStr">
        <is>
          <t>LOGO</t>
        </is>
      </c>
      <c r="M384" s="214" t="n"/>
      <c r="N384" s="214" t="n"/>
      <c r="O384" s="216" t="n"/>
    </row>
    <row r="385" ht="21" customHeight="1" thickBot="1">
      <c r="B385" s="257" t="inlineStr">
        <is>
          <t>YAPILAN İŞLER</t>
        </is>
      </c>
      <c r="C385" s="258" t="n"/>
      <c r="D385" s="258" t="n"/>
      <c r="E385" s="258" t="n"/>
      <c r="F385" s="258" t="n"/>
      <c r="G385" s="258" t="n"/>
      <c r="H385" s="258" t="n"/>
      <c r="I385" s="258" t="n"/>
      <c r="J385" s="258" t="n"/>
      <c r="K385" s="258" t="n"/>
      <c r="L385" s="258" t="n"/>
      <c r="M385" s="258" t="n"/>
      <c r="N385" s="258" t="n"/>
      <c r="O385" s="259" t="n"/>
    </row>
    <row r="386" ht="40.2" customFormat="1" customHeight="1" s="45">
      <c r="B386" s="47" t="inlineStr">
        <is>
          <t>NO</t>
        </is>
      </c>
      <c r="C386" s="260" t="inlineStr">
        <is>
          <t>AÇIKLAMA</t>
        </is>
      </c>
      <c r="D386" s="214" t="n"/>
      <c r="E386" s="214" t="n"/>
      <c r="F386" s="214" t="n"/>
      <c r="G386" s="214" t="n"/>
      <c r="H386" s="214" t="n"/>
      <c r="I386" s="215" t="n"/>
      <c r="J386" s="48" t="inlineStr">
        <is>
          <t>İLGİLİ FİRMA/ÇALIŞAN SAYISI</t>
        </is>
      </c>
      <c r="K386" s="261" t="inlineStr">
        <is>
          <t>İLAVE NOTLAR</t>
        </is>
      </c>
      <c r="L386" s="214" t="n"/>
      <c r="M386" s="214" t="n"/>
      <c r="N386" s="214" t="n"/>
      <c r="O386" s="216" t="n"/>
    </row>
    <row r="387" hidden="1" ht="19.95" customFormat="1" customHeight="1" s="45">
      <c r="B387" s="49" t="n"/>
      <c r="C387" s="262" t="inlineStr">
        <is>
          <t>Ruhsat Alım İşleri</t>
        </is>
      </c>
      <c r="D387" s="218" t="n"/>
      <c r="E387" s="218" t="n"/>
      <c r="F387" s="218" t="n"/>
      <c r="G387" s="218" t="n"/>
      <c r="H387" s="218" t="n"/>
      <c r="I387" s="219" t="n"/>
      <c r="J387" s="50" t="n"/>
      <c r="K387" s="263" t="n"/>
      <c r="L387" s="218" t="n"/>
      <c r="M387" s="218" t="n"/>
      <c r="N387" s="218" t="n"/>
      <c r="O387" s="220" t="n"/>
    </row>
    <row r="388" hidden="1" ht="49.95" customFormat="1" customHeight="1" s="45">
      <c r="B388" s="51" t="n">
        <v>1</v>
      </c>
      <c r="C388" s="264" t="inlineStr">
        <is>
          <t>Yapım ruhsatı yazılmış olup, yapı denetim ve Akyurt Belediyesinde tüm imzalar tamamlanmıştır. SGK Müdürlüğüne gidilerek İşyeri açılışı için başvuru yapılmış ve İşyeri açılışı yapılmıştır.</t>
        </is>
      </c>
      <c r="D388" s="218" t="n"/>
      <c r="E388" s="218" t="n"/>
      <c r="F388" s="218" t="n"/>
      <c r="G388" s="218" t="n"/>
      <c r="H388" s="218" t="n"/>
      <c r="I388" s="219" t="n"/>
      <c r="J388" s="52" t="n"/>
      <c r="K388" s="265" t="inlineStr">
        <is>
          <t>SGK İşyeri Sicil Numarası : 4.4120.0101.1457705.006.27.57.000.040</t>
        </is>
      </c>
      <c r="L388" s="218" t="n"/>
      <c r="M388" s="218" t="n"/>
      <c r="N388" s="218" t="n"/>
      <c r="O388" s="220" t="n"/>
    </row>
    <row r="389" hidden="1" ht="19.95" customFormat="1" customHeight="1" s="45">
      <c r="B389" s="49" t="n"/>
      <c r="C389" s="262" t="inlineStr">
        <is>
          <t>Mobilizasyon İşleri</t>
        </is>
      </c>
      <c r="D389" s="218" t="n"/>
      <c r="E389" s="218" t="n"/>
      <c r="F389" s="218" t="n"/>
      <c r="G389" s="218" t="n"/>
      <c r="H389" s="218" t="n"/>
      <c r="I389" s="219" t="n"/>
      <c r="J389" s="50" t="n"/>
      <c r="K389" s="263" t="n"/>
      <c r="L389" s="218" t="n"/>
      <c r="M389" s="218" t="n"/>
      <c r="N389" s="218" t="n"/>
      <c r="O389" s="220" t="n"/>
    </row>
    <row r="390" hidden="1" ht="30" customFormat="1" customHeight="1" s="45">
      <c r="B390" s="51" t="n">
        <v>1</v>
      </c>
      <c r="C390" s="264" t="inlineStr">
        <is>
          <t>Mobilizasyon çalışmaları devam etmektedir.</t>
        </is>
      </c>
      <c r="D390" s="218" t="n"/>
      <c r="E390" s="218" t="n"/>
      <c r="F390" s="218" t="n"/>
      <c r="G390" s="218" t="n"/>
      <c r="H390" s="218" t="n"/>
      <c r="I390" s="219" t="n"/>
      <c r="J390" s="52" t="n"/>
      <c r="K390" s="265" t="inlineStr">
        <is>
          <t>İSG önlemleri kapsamında çalışmalar yapıldı.</t>
        </is>
      </c>
      <c r="L390" s="218" t="n"/>
      <c r="M390" s="218" t="n"/>
      <c r="N390" s="218" t="n"/>
      <c r="O390" s="220" t="n"/>
    </row>
    <row r="391" ht="19.95" customFormat="1" customHeight="1" s="45">
      <c r="B391" s="49" t="n"/>
      <c r="C391" s="262" t="inlineStr">
        <is>
          <t>Kazı İşleri</t>
        </is>
      </c>
      <c r="D391" s="218" t="n"/>
      <c r="E391" s="218" t="n"/>
      <c r="F391" s="218" t="n"/>
      <c r="G391" s="218" t="n"/>
      <c r="H391" s="218" t="n"/>
      <c r="I391" s="219" t="n"/>
      <c r="J391" s="50" t="n"/>
      <c r="K391" s="263" t="n"/>
      <c r="L391" s="218" t="n"/>
      <c r="M391" s="218" t="n"/>
      <c r="N391" s="218" t="n"/>
      <c r="O391" s="220" t="n"/>
    </row>
    <row r="392" ht="34.5" customFormat="1" customHeight="1" s="45">
      <c r="B392" s="51" t="n">
        <v>1</v>
      </c>
      <c r="C392" s="266" t="n"/>
      <c r="D392" s="218" t="n"/>
      <c r="E392" s="218" t="n"/>
      <c r="F392" s="218" t="n"/>
      <c r="G392" s="218" t="n"/>
      <c r="H392" s="218" t="n"/>
      <c r="I392" s="219" t="n"/>
      <c r="J392" s="52" t="n"/>
      <c r="K392" s="267" t="n"/>
      <c r="L392" s="218" t="n"/>
      <c r="M392" s="218" t="n"/>
      <c r="N392" s="218" t="n"/>
      <c r="O392" s="220" t="n"/>
    </row>
    <row r="393" ht="34.5" customFormat="1" customHeight="1" s="45">
      <c r="B393" s="51" t="n">
        <v>2</v>
      </c>
      <c r="C393" s="266" t="n"/>
      <c r="D393" s="218" t="n"/>
      <c r="E393" s="218" t="n"/>
      <c r="F393" s="218" t="n"/>
      <c r="G393" s="218" t="n"/>
      <c r="H393" s="218" t="n"/>
      <c r="I393" s="219" t="n"/>
      <c r="J393" s="52" t="n"/>
      <c r="K393" s="267" t="n"/>
      <c r="L393" s="218" t="n"/>
      <c r="M393" s="218" t="n"/>
      <c r="N393" s="218" t="n"/>
      <c r="O393" s="220" t="n"/>
    </row>
    <row r="394" ht="35.4" customFormat="1" customHeight="1" s="45">
      <c r="B394" s="51" t="n">
        <v>3</v>
      </c>
      <c r="C394" s="264" t="n"/>
      <c r="D394" s="218" t="n"/>
      <c r="E394" s="218" t="n"/>
      <c r="F394" s="218" t="n"/>
      <c r="G394" s="218" t="n"/>
      <c r="H394" s="218" t="n"/>
      <c r="I394" s="219" t="n"/>
      <c r="J394" s="52" t="n"/>
      <c r="K394" s="265" t="n"/>
      <c r="L394" s="218" t="n"/>
      <c r="M394" s="218" t="n"/>
      <c r="N394" s="218" t="n"/>
      <c r="O394" s="220" t="n"/>
    </row>
    <row r="395" ht="19.95" customFormat="1" customHeight="1" s="45">
      <c r="B395" s="49" t="n"/>
      <c r="C395" s="262" t="inlineStr">
        <is>
          <t>Betonarme Kaba Yapı İşleri</t>
        </is>
      </c>
      <c r="D395" s="218" t="n"/>
      <c r="E395" s="218" t="n"/>
      <c r="F395" s="218" t="n"/>
      <c r="G395" s="218" t="n"/>
      <c r="H395" s="218" t="n"/>
      <c r="I395" s="219" t="n"/>
      <c r="J395" s="50" t="n"/>
      <c r="K395" s="263" t="n"/>
      <c r="L395" s="218" t="n"/>
      <c r="M395" s="218" t="n"/>
      <c r="N395" s="218" t="n"/>
      <c r="O395" s="220" t="n"/>
    </row>
    <row r="396" ht="34.5" customFormat="1" customHeight="1" s="45">
      <c r="B396" s="51" t="n">
        <v>1</v>
      </c>
      <c r="C396" s="266" t="n"/>
      <c r="D396" s="218" t="n"/>
      <c r="E396" s="218" t="n"/>
      <c r="F396" s="218" t="n"/>
      <c r="G396" s="218" t="n"/>
      <c r="H396" s="218" t="n"/>
      <c r="I396" s="219" t="n"/>
      <c r="J396" s="52" t="n"/>
      <c r="K396" s="65" t="n"/>
      <c r="L396" s="66" t="n"/>
      <c r="M396" s="66" t="n"/>
      <c r="N396" s="66" t="n"/>
      <c r="O396" s="67" t="n"/>
    </row>
    <row r="397" ht="34.5" customFormat="1" customHeight="1" s="45">
      <c r="B397" s="51" t="n">
        <v>2</v>
      </c>
      <c r="C397" s="266" t="n"/>
      <c r="D397" s="218" t="n"/>
      <c r="E397" s="218" t="n"/>
      <c r="F397" s="218" t="n"/>
      <c r="G397" s="218" t="n"/>
      <c r="H397" s="218" t="n"/>
      <c r="I397" s="219" t="n"/>
      <c r="J397" s="52" t="n"/>
      <c r="K397" s="267" t="n"/>
      <c r="L397" s="218" t="n"/>
      <c r="M397" s="218" t="n"/>
      <c r="N397" s="218" t="n"/>
      <c r="O397" s="220" t="n"/>
    </row>
    <row r="398" ht="34.5" customFormat="1" customHeight="1" s="45">
      <c r="B398" s="51" t="n">
        <v>3</v>
      </c>
      <c r="C398" s="264" t="n"/>
      <c r="D398" s="218" t="n"/>
      <c r="E398" s="218" t="n"/>
      <c r="F398" s="218" t="n"/>
      <c r="G398" s="218" t="n"/>
      <c r="H398" s="218" t="n"/>
      <c r="I398" s="219" t="n"/>
      <c r="J398" s="52" t="n"/>
      <c r="K398" s="268" t="n"/>
      <c r="L398" s="218" t="n"/>
      <c r="M398" s="218" t="n"/>
      <c r="N398" s="218" t="n"/>
      <c r="O398" s="220" t="n"/>
    </row>
    <row r="399" ht="19.95" customFormat="1" customHeight="1" s="45">
      <c r="B399" s="49" t="n"/>
      <c r="C399" s="262" t="inlineStr">
        <is>
          <t>İnce Yapı İşleri</t>
        </is>
      </c>
      <c r="D399" s="218" t="n"/>
      <c r="E399" s="218" t="n"/>
      <c r="F399" s="218" t="n"/>
      <c r="G399" s="218" t="n"/>
      <c r="H399" s="218" t="n"/>
      <c r="I399" s="219" t="n"/>
      <c r="J399" s="50" t="n"/>
      <c r="K399" s="263" t="n"/>
      <c r="L399" s="218" t="n"/>
      <c r="M399" s="218" t="n"/>
      <c r="N399" s="218" t="n"/>
      <c r="O399" s="220" t="n"/>
    </row>
    <row r="400" ht="35.4" customFormat="1" customHeight="1" s="45">
      <c r="B400" s="51" t="n">
        <v>1</v>
      </c>
      <c r="C400" s="264" t="n"/>
      <c r="D400" s="218" t="n"/>
      <c r="E400" s="218" t="n"/>
      <c r="F400" s="218" t="n"/>
      <c r="G400" s="218" t="n"/>
      <c r="H400" s="218" t="n"/>
      <c r="I400" s="219" t="n"/>
      <c r="J400" s="52" t="n"/>
      <c r="K400" s="268" t="n"/>
      <c r="L400" s="218" t="n"/>
      <c r="M400" s="218" t="n"/>
      <c r="N400" s="218" t="n"/>
      <c r="O400" s="220" t="n"/>
    </row>
    <row r="401" ht="35.4" customFormat="1" customHeight="1" s="45">
      <c r="B401" s="51" t="n">
        <v>2</v>
      </c>
      <c r="C401" s="264" t="n"/>
      <c r="D401" s="218" t="n"/>
      <c r="E401" s="218" t="n"/>
      <c r="F401" s="218" t="n"/>
      <c r="G401" s="218" t="n"/>
      <c r="H401" s="218" t="n"/>
      <c r="I401" s="219" t="n"/>
      <c r="J401" s="52" t="n"/>
      <c r="K401" s="268" t="n"/>
      <c r="L401" s="218" t="n"/>
      <c r="M401" s="218" t="n"/>
      <c r="N401" s="218" t="n"/>
      <c r="O401" s="220" t="n"/>
    </row>
    <row r="402" ht="35.4" customFormat="1" customHeight="1" s="45">
      <c r="B402" s="51" t="n">
        <v>3</v>
      </c>
      <c r="C402" s="264" t="n"/>
      <c r="D402" s="218" t="n"/>
      <c r="E402" s="218" t="n"/>
      <c r="F402" s="218" t="n"/>
      <c r="G402" s="218" t="n"/>
      <c r="H402" s="218" t="n"/>
      <c r="I402" s="219" t="n"/>
      <c r="J402" s="52" t="n"/>
      <c r="K402" s="268" t="n"/>
      <c r="L402" s="218" t="n"/>
      <c r="M402" s="218" t="n"/>
      <c r="N402" s="218" t="n"/>
      <c r="O402" s="220" t="n"/>
    </row>
    <row r="403" ht="19.95" customFormat="1" customHeight="1" s="45">
      <c r="B403" s="49" t="n"/>
      <c r="C403" s="262" t="inlineStr">
        <is>
          <t>Altyapı İşleri</t>
        </is>
      </c>
      <c r="D403" s="218" t="n"/>
      <c r="E403" s="218" t="n"/>
      <c r="F403" s="218" t="n"/>
      <c r="G403" s="218" t="n"/>
      <c r="H403" s="218" t="n"/>
      <c r="I403" s="219" t="n"/>
      <c r="J403" s="50" t="n"/>
      <c r="K403" s="263" t="n"/>
      <c r="L403" s="218" t="n"/>
      <c r="M403" s="218" t="n"/>
      <c r="N403" s="218" t="n"/>
      <c r="O403" s="220" t="n"/>
    </row>
    <row r="404" ht="35.4" customFormat="1" customHeight="1" s="45">
      <c r="B404" s="51" t="n">
        <v>1</v>
      </c>
      <c r="C404" s="264" t="n"/>
      <c r="D404" s="218" t="n"/>
      <c r="E404" s="218" t="n"/>
      <c r="F404" s="218" t="n"/>
      <c r="G404" s="218" t="n"/>
      <c r="H404" s="218" t="n"/>
      <c r="I404" s="219" t="n"/>
      <c r="J404" s="52" t="n"/>
      <c r="K404" s="268" t="n"/>
      <c r="L404" s="218" t="n"/>
      <c r="M404" s="218" t="n"/>
      <c r="N404" s="218" t="n"/>
      <c r="O404" s="220" t="n"/>
    </row>
    <row r="405" ht="35.4" customFormat="1" customHeight="1" s="45">
      <c r="B405" s="51" t="n">
        <v>2</v>
      </c>
      <c r="C405" s="264" t="n"/>
      <c r="D405" s="218" t="n"/>
      <c r="E405" s="218" t="n"/>
      <c r="F405" s="218" t="n"/>
      <c r="G405" s="218" t="n"/>
      <c r="H405" s="218" t="n"/>
      <c r="I405" s="219" t="n"/>
      <c r="J405" s="52" t="n"/>
      <c r="K405" s="268" t="n"/>
      <c r="L405" s="218" t="n"/>
      <c r="M405" s="218" t="n"/>
      <c r="N405" s="218" t="n"/>
      <c r="O405" s="220" t="n"/>
    </row>
    <row r="406" ht="35.4" customFormat="1" customHeight="1" s="45">
      <c r="B406" s="51" t="n">
        <v>3</v>
      </c>
      <c r="C406" s="264" t="n"/>
      <c r="D406" s="218" t="n"/>
      <c r="E406" s="218" t="n"/>
      <c r="F406" s="218" t="n"/>
      <c r="G406" s="218" t="n"/>
      <c r="H406" s="218" t="n"/>
      <c r="I406" s="219" t="n"/>
      <c r="J406" s="52" t="n"/>
      <c r="K406" s="268" t="n"/>
      <c r="L406" s="218" t="n"/>
      <c r="M406" s="218" t="n"/>
      <c r="N406" s="218" t="n"/>
      <c r="O406" s="220" t="n"/>
    </row>
    <row r="407" ht="19.95" customFormat="1" customHeight="1" s="45">
      <c r="B407" s="49" t="n"/>
      <c r="C407" s="262" t="inlineStr">
        <is>
          <t>Mekanik İşleri</t>
        </is>
      </c>
      <c r="D407" s="218" t="n"/>
      <c r="E407" s="218" t="n"/>
      <c r="F407" s="218" t="n"/>
      <c r="G407" s="218" t="n"/>
      <c r="H407" s="218" t="n"/>
      <c r="I407" s="219" t="n"/>
      <c r="J407" s="50" t="n"/>
      <c r="K407" s="263" t="n"/>
      <c r="L407" s="218" t="n"/>
      <c r="M407" s="218" t="n"/>
      <c r="N407" s="218" t="n"/>
      <c r="O407" s="220" t="n"/>
    </row>
    <row r="408" ht="35.4" customFormat="1" customHeight="1" s="45">
      <c r="B408" s="51" t="n">
        <v>1</v>
      </c>
      <c r="C408" s="264" t="n"/>
      <c r="D408" s="218" t="n"/>
      <c r="E408" s="218" t="n"/>
      <c r="F408" s="218" t="n"/>
      <c r="G408" s="218" t="n"/>
      <c r="H408" s="218" t="n"/>
      <c r="I408" s="219" t="n"/>
      <c r="J408" s="52" t="n"/>
      <c r="K408" s="268" t="n"/>
      <c r="L408" s="218" t="n"/>
      <c r="M408" s="218" t="n"/>
      <c r="N408" s="218" t="n"/>
      <c r="O408" s="220" t="n"/>
    </row>
    <row r="409" ht="35.4" customFormat="1" customHeight="1" s="45">
      <c r="B409" s="51" t="n">
        <v>2</v>
      </c>
      <c r="C409" s="264" t="n"/>
      <c r="D409" s="218" t="n"/>
      <c r="E409" s="218" t="n"/>
      <c r="F409" s="218" t="n"/>
      <c r="G409" s="218" t="n"/>
      <c r="H409" s="218" t="n"/>
      <c r="I409" s="219" t="n"/>
      <c r="J409" s="52" t="n"/>
      <c r="K409" s="268" t="n"/>
      <c r="L409" s="218" t="n"/>
      <c r="M409" s="218" t="n"/>
      <c r="N409" s="218" t="n"/>
      <c r="O409" s="220" t="n"/>
    </row>
    <row r="410" ht="35.4" customFormat="1" customHeight="1" s="45">
      <c r="B410" s="51" t="n">
        <v>3</v>
      </c>
      <c r="C410" s="264" t="n"/>
      <c r="D410" s="218" t="n"/>
      <c r="E410" s="218" t="n"/>
      <c r="F410" s="218" t="n"/>
      <c r="G410" s="218" t="n"/>
      <c r="H410" s="218" t="n"/>
      <c r="I410" s="219" t="n"/>
      <c r="J410" s="52" t="n"/>
      <c r="K410" s="268" t="n"/>
      <c r="L410" s="218" t="n"/>
      <c r="M410" s="218" t="n"/>
      <c r="N410" s="218" t="n"/>
      <c r="O410" s="220" t="n"/>
    </row>
    <row r="411" ht="19.95" customFormat="1" customHeight="1" s="45">
      <c r="B411" s="49" t="n"/>
      <c r="C411" s="262" t="inlineStr">
        <is>
          <t>Elektrik İşleri</t>
        </is>
      </c>
      <c r="D411" s="218" t="n"/>
      <c r="E411" s="218" t="n"/>
      <c r="F411" s="218" t="n"/>
      <c r="G411" s="218" t="n"/>
      <c r="H411" s="218" t="n"/>
      <c r="I411" s="219" t="n"/>
      <c r="J411" s="50" t="n"/>
      <c r="K411" s="263" t="n"/>
      <c r="L411" s="218" t="n"/>
      <c r="M411" s="218" t="n"/>
      <c r="N411" s="218" t="n"/>
      <c r="O411" s="220" t="n"/>
    </row>
    <row r="412" ht="35.4" customFormat="1" customHeight="1" s="45">
      <c r="B412" s="51" t="n">
        <v>1</v>
      </c>
      <c r="C412" s="264" t="n"/>
      <c r="D412" s="218" t="n"/>
      <c r="E412" s="218" t="n"/>
      <c r="F412" s="218" t="n"/>
      <c r="G412" s="218" t="n"/>
      <c r="H412" s="218" t="n"/>
      <c r="I412" s="219" t="n"/>
      <c r="J412" s="52" t="n"/>
      <c r="K412" s="268" t="n"/>
      <c r="L412" s="218" t="n"/>
      <c r="M412" s="218" t="n"/>
      <c r="N412" s="218" t="n"/>
      <c r="O412" s="220" t="n"/>
    </row>
    <row r="413" ht="35.4" customFormat="1" customHeight="1" s="45">
      <c r="B413" s="51" t="n">
        <v>2</v>
      </c>
      <c r="C413" s="264" t="n"/>
      <c r="D413" s="218" t="n"/>
      <c r="E413" s="218" t="n"/>
      <c r="F413" s="218" t="n"/>
      <c r="G413" s="218" t="n"/>
      <c r="H413" s="218" t="n"/>
      <c r="I413" s="219" t="n"/>
      <c r="J413" s="52" t="n"/>
      <c r="K413" s="268" t="n"/>
      <c r="L413" s="218" t="n"/>
      <c r="M413" s="218" t="n"/>
      <c r="N413" s="218" t="n"/>
      <c r="O413" s="220" t="n"/>
    </row>
    <row r="414" ht="19.95" customFormat="1" customHeight="1" s="45">
      <c r="B414" s="49" t="n"/>
      <c r="C414" s="262" t="inlineStr">
        <is>
          <t>İSG</t>
        </is>
      </c>
      <c r="D414" s="218" t="n"/>
      <c r="E414" s="218" t="n"/>
      <c r="F414" s="218" t="n"/>
      <c r="G414" s="218" t="n"/>
      <c r="H414" s="218" t="n"/>
      <c r="I414" s="219" t="n"/>
      <c r="J414" s="50" t="n"/>
      <c r="K414" s="263" t="n"/>
      <c r="L414" s="218" t="n"/>
      <c r="M414" s="218" t="n"/>
      <c r="N414" s="218" t="n"/>
      <c r="O414" s="220" t="n"/>
    </row>
    <row r="415" ht="35.4" customFormat="1" customHeight="1" s="45">
      <c r="B415" s="51" t="n">
        <v>1</v>
      </c>
      <c r="C415" s="264" t="n"/>
      <c r="D415" s="218" t="n"/>
      <c r="E415" s="218" t="n"/>
      <c r="F415" s="218" t="n"/>
      <c r="G415" s="218" t="n"/>
      <c r="H415" s="218" t="n"/>
      <c r="I415" s="219" t="n"/>
      <c r="J415" s="52" t="n"/>
      <c r="K415" s="268" t="n"/>
      <c r="L415" s="218" t="n"/>
      <c r="M415" s="218" t="n"/>
      <c r="N415" s="218" t="n"/>
      <c r="O415" s="220" t="n"/>
    </row>
    <row r="416" ht="35.4" customFormat="1" customHeight="1" s="45">
      <c r="B416" s="51" t="n">
        <v>2</v>
      </c>
      <c r="C416" s="264" t="n"/>
      <c r="D416" s="218" t="n"/>
      <c r="E416" s="218" t="n"/>
      <c r="F416" s="218" t="n"/>
      <c r="G416" s="218" t="n"/>
      <c r="H416" s="218" t="n"/>
      <c r="I416" s="219" t="n"/>
      <c r="J416" s="52" t="n"/>
      <c r="K416" s="268" t="n"/>
      <c r="L416" s="218" t="n"/>
      <c r="M416" s="218" t="n"/>
      <c r="N416" s="218" t="n"/>
      <c r="O416" s="220" t="n"/>
    </row>
    <row r="417" ht="36" customFormat="1" customHeight="1" s="45">
      <c r="B417" s="51" t="n">
        <v>3</v>
      </c>
      <c r="C417" s="264" t="n"/>
      <c r="D417" s="218" t="n"/>
      <c r="E417" s="218" t="n"/>
      <c r="F417" s="218" t="n"/>
      <c r="G417" s="218" t="n"/>
      <c r="H417" s="218" t="n"/>
      <c r="I417" s="219" t="n"/>
      <c r="J417" s="52" t="n"/>
      <c r="K417" s="268" t="n"/>
      <c r="L417" s="218" t="n"/>
      <c r="M417" s="218" t="n"/>
      <c r="N417" s="218" t="n"/>
      <c r="O417" s="220" t="n"/>
    </row>
    <row r="418" ht="19.95" customFormat="1" customHeight="1" s="45">
      <c r="B418" s="49" t="n"/>
      <c r="C418" s="262" t="inlineStr">
        <is>
          <t>Teknik Ofis İşleri</t>
        </is>
      </c>
      <c r="D418" s="218" t="n"/>
      <c r="E418" s="218" t="n"/>
      <c r="F418" s="218" t="n"/>
      <c r="G418" s="218" t="n"/>
      <c r="H418" s="218" t="n"/>
      <c r="I418" s="219" t="n"/>
      <c r="J418" s="50" t="n"/>
      <c r="K418" s="263" t="n"/>
      <c r="L418" s="218" t="n"/>
      <c r="M418" s="218" t="n"/>
      <c r="N418" s="218" t="n"/>
      <c r="O418" s="220" t="n"/>
    </row>
    <row r="419" ht="35.25" customFormat="1" customHeight="1" s="45">
      <c r="B419" s="51" t="n">
        <v>1</v>
      </c>
      <c r="C419" s="264" t="n"/>
      <c r="D419" s="218" t="n"/>
      <c r="E419" s="218" t="n"/>
      <c r="F419" s="218" t="n"/>
      <c r="G419" s="218" t="n"/>
      <c r="H419" s="218" t="n"/>
      <c r="I419" s="219" t="n"/>
      <c r="J419" s="52" t="n"/>
      <c r="K419" s="268" t="n"/>
      <c r="L419" s="218" t="n"/>
      <c r="M419" s="218" t="n"/>
      <c r="N419" s="218" t="n"/>
      <c r="O419" s="220" t="n"/>
    </row>
    <row r="420" ht="35.25" customFormat="1" customHeight="1" s="45">
      <c r="B420" s="51" t="n">
        <v>2</v>
      </c>
      <c r="C420" s="264" t="n"/>
      <c r="D420" s="218" t="n"/>
      <c r="E420" s="218" t="n"/>
      <c r="F420" s="218" t="n"/>
      <c r="G420" s="218" t="n"/>
      <c r="H420" s="218" t="n"/>
      <c r="I420" s="219" t="n"/>
      <c r="J420" s="52" t="n"/>
      <c r="K420" s="267" t="n"/>
      <c r="L420" s="218" t="n"/>
      <c r="M420" s="218" t="n"/>
      <c r="N420" s="218" t="n"/>
      <c r="O420" s="220" t="n"/>
    </row>
    <row r="421" ht="35.25" customFormat="1" customHeight="1" s="45" thickBot="1">
      <c r="B421" s="51" t="n">
        <v>3</v>
      </c>
      <c r="C421" s="269" t="n"/>
      <c r="D421" s="218" t="n"/>
      <c r="E421" s="218" t="n"/>
      <c r="F421" s="218" t="n"/>
      <c r="G421" s="218" t="n"/>
      <c r="H421" s="218" t="n"/>
      <c r="I421" s="219" t="n"/>
      <c r="J421" s="52" t="n"/>
      <c r="K421" s="267" t="n"/>
      <c r="L421" s="218" t="n"/>
      <c r="M421" s="218" t="n"/>
      <c r="N421" s="218" t="n"/>
      <c r="O421" s="220" t="n"/>
    </row>
    <row r="422" ht="18.75" customHeight="1">
      <c r="B422" s="270" t="inlineStr">
        <is>
          <t>İMZA</t>
        </is>
      </c>
      <c r="C422" s="74" t="inlineStr">
        <is>
          <t>SİGMA MÜHENDİSLİK HİZMETLERİ DEKORASYON İNŞAAT LTD. ŞTİ.</t>
        </is>
      </c>
      <c r="D422" s="214" t="n"/>
      <c r="E422" s="214" t="n"/>
      <c r="F422" s="214" t="n"/>
      <c r="G422" s="214" t="n"/>
      <c r="H422" s="214" t="n"/>
      <c r="I422" s="215" t="n"/>
      <c r="J422" s="76" t="inlineStr">
        <is>
          <t>ANA YÜKLENİCİ</t>
        </is>
      </c>
      <c r="K422" s="214" t="n"/>
      <c r="L422" s="214" t="n"/>
      <c r="M422" s="214" t="n"/>
      <c r="N422" s="214" t="n"/>
      <c r="O422" s="216" t="n"/>
    </row>
    <row r="423" ht="18.75" customHeight="1">
      <c r="B423" s="271" t="n"/>
      <c r="C423" s="272" t="n"/>
      <c r="D423" s="218" t="n"/>
      <c r="E423" s="218" t="n"/>
      <c r="F423" s="218" t="n"/>
      <c r="G423" s="218" t="n"/>
      <c r="H423" s="218" t="n"/>
      <c r="I423" s="219" t="n"/>
      <c r="J423" s="56" t="n"/>
      <c r="K423" s="56" t="n"/>
      <c r="L423" s="56" t="n"/>
      <c r="M423" s="56" t="n"/>
      <c r="N423" s="56" t="n"/>
      <c r="O423" s="57" t="n"/>
    </row>
    <row r="424" ht="14.25" customHeight="1">
      <c r="B424" s="271" t="n"/>
      <c r="C424" s="80" t="n"/>
      <c r="D424" s="273" t="n"/>
      <c r="E424" s="273" t="n"/>
      <c r="F424" s="273" t="n"/>
      <c r="G424" s="273" t="n"/>
      <c r="H424" s="273" t="n"/>
      <c r="I424" s="274" t="n"/>
      <c r="J424" s="80" t="n"/>
      <c r="K424" s="273" t="n"/>
      <c r="L424" s="273" t="n"/>
      <c r="M424" s="273" t="n"/>
      <c r="N424" s="273" t="n"/>
      <c r="O424" s="274" t="n"/>
    </row>
    <row r="425" ht="14.25" customHeight="1">
      <c r="B425" s="271" t="n"/>
      <c r="C425" s="275" t="n"/>
      <c r="I425" s="276" t="n"/>
      <c r="J425" s="275" t="n"/>
      <c r="O425" s="276" t="n"/>
    </row>
    <row r="426" ht="14.25" customHeight="1" thickBot="1">
      <c r="B426" s="277" t="n"/>
      <c r="C426" s="278" t="n"/>
      <c r="D426" s="250" t="n"/>
      <c r="E426" s="250" t="n"/>
      <c r="F426" s="250" t="n"/>
      <c r="G426" s="250" t="n"/>
      <c r="H426" s="250" t="n"/>
      <c r="I426" s="240" t="n"/>
      <c r="J426" s="278" t="n"/>
      <c r="K426" s="250" t="n"/>
      <c r="L426" s="250" t="n"/>
      <c r="M426" s="250" t="n"/>
      <c r="N426" s="250" t="n"/>
      <c r="O426" s="240" t="n"/>
    </row>
    <row r="444" ht="10.8" customHeight="1" thickBot="1"/>
    <row r="445" ht="87" customHeight="1">
      <c r="B445" s="213" t="n"/>
      <c r="C445" s="214" t="n"/>
      <c r="D445" s="214" t="n"/>
      <c r="E445" s="215" t="n"/>
      <c r="F445" s="97" t="inlineStr">
        <is>
          <t>GÜNLÜK FAALİYET RAPORU
02780-BGC-SGM-XXX-XXX-DPR-IPY-100001</t>
        </is>
      </c>
      <c r="G445" s="214" t="n"/>
      <c r="H445" s="214" t="n"/>
      <c r="I445" s="214" t="n"/>
      <c r="J445" s="214" t="n"/>
      <c r="K445" s="215" t="n"/>
      <c r="L445" s="99" t="inlineStr">
        <is>
          <t>LOGO</t>
        </is>
      </c>
      <c r="M445" s="214" t="n"/>
      <c r="N445" s="214" t="n"/>
      <c r="O445" s="216" t="n"/>
      <c r="U445" s="2" t="n"/>
    </row>
    <row r="446" ht="37.5" customHeight="1">
      <c r="B446" s="217" t="inlineStr">
        <is>
          <t>İŞVEREN</t>
        </is>
      </c>
      <c r="C446" s="218" t="n"/>
      <c r="D446" s="218" t="n"/>
      <c r="E446" s="219" t="n"/>
      <c r="F446" s="198" t="inlineStr">
        <is>
          <t>ANA YÜKLENİCİ</t>
        </is>
      </c>
      <c r="G446" s="219" t="n"/>
      <c r="H446" s="199" t="n"/>
      <c r="I446" s="219" t="n"/>
      <c r="J446" s="200" t="inlineStr">
        <is>
          <t>TARİH</t>
        </is>
      </c>
      <c r="K446" s="218" t="n"/>
      <c r="L446" s="219" t="n"/>
      <c r="M446" s="203" t="inlineStr">
        <is>
          <t>XX.0X.2026</t>
        </is>
      </c>
      <c r="N446" s="218" t="n"/>
      <c r="O446" s="220" t="n"/>
    </row>
    <row r="447" ht="30.75" customHeight="1">
      <c r="B447" s="204" t="inlineStr">
        <is>
          <t>Halk Gayrimenkul Yatırım Ortaklığı A.Ş.</t>
        </is>
      </c>
      <c r="C447" s="218" t="n"/>
      <c r="D447" s="218" t="n"/>
      <c r="E447" s="219" t="n"/>
      <c r="F447" s="205" t="inlineStr">
        <is>
          <t>-</t>
        </is>
      </c>
      <c r="G447" s="219" t="n"/>
      <c r="H447" s="207" t="n"/>
      <c r="I447" s="219" t="n"/>
      <c r="J447" s="201" t="inlineStr">
        <is>
          <t>HAVA DURUMU</t>
        </is>
      </c>
      <c r="K447" s="218" t="n"/>
      <c r="L447" s="219" t="n"/>
      <c r="M447" s="221" t="inlineStr">
        <is>
          <t>Açık / 25°C</t>
        </is>
      </c>
      <c r="N447" s="218" t="n"/>
      <c r="O447" s="220" t="n"/>
    </row>
    <row r="448" ht="34.5" customHeight="1" thickBot="1">
      <c r="B448" s="170" t="inlineStr">
        <is>
          <t>HALK GYO ASM BAĞCILAR PROJESİ</t>
        </is>
      </c>
      <c r="C448" s="222" t="n"/>
      <c r="D448" s="222" t="n"/>
      <c r="E448" s="222" t="n"/>
      <c r="F448" s="222" t="n"/>
      <c r="G448" s="222" t="n"/>
      <c r="H448" s="222" t="n"/>
      <c r="I448" s="223" t="n"/>
      <c r="J448" s="224" t="inlineStr">
        <is>
          <t>İŞ BİTİM TARİHİ</t>
        </is>
      </c>
      <c r="K448" s="222" t="n"/>
      <c r="L448" s="223" t="n"/>
      <c r="M448" s="225" t="n"/>
      <c r="N448" s="222" t="n"/>
      <c r="O448" s="226" t="n"/>
    </row>
    <row r="449" ht="17.25" customHeight="1">
      <c r="B449" s="227" t="inlineStr">
        <is>
          <t>İŞVEREN / PROJE YÖNETİMİ</t>
        </is>
      </c>
      <c r="C449" s="228" t="n"/>
      <c r="D449" s="228" t="n"/>
      <c r="E449" s="229" t="n"/>
      <c r="F449" s="230" t="inlineStr">
        <is>
          <t>Kümülatif</t>
        </is>
      </c>
      <c r="G449" s="231" t="inlineStr">
        <is>
          <t>YÜKLENİCİ FİRMA
Teknik Kadro Dahil</t>
        </is>
      </c>
      <c r="H449" s="228" t="n"/>
      <c r="I449" s="228" t="n"/>
      <c r="J449" s="232" t="inlineStr">
        <is>
          <t>Kümülatif</t>
        </is>
      </c>
      <c r="K449" s="187" t="inlineStr">
        <is>
          <t>İŞ MAKİNALARI</t>
        </is>
      </c>
      <c r="L449" s="229" t="n"/>
      <c r="M449" s="191" t="inlineStr">
        <is>
          <t>Giriş Tarihi</t>
        </is>
      </c>
      <c r="N449" s="191" t="inlineStr">
        <is>
          <t>Çıkış Tarihi</t>
        </is>
      </c>
      <c r="O449" s="233" t="inlineStr">
        <is>
          <t>Puantaj (Saat)</t>
        </is>
      </c>
    </row>
    <row r="450" ht="17.25" customHeight="1" thickBot="1">
      <c r="B450" s="234" t="n"/>
      <c r="C450" s="235" t="n"/>
      <c r="D450" s="235" t="n"/>
      <c r="E450" s="236" t="n"/>
      <c r="F450" s="237" t="n"/>
      <c r="G450" s="234" t="n"/>
      <c r="H450" s="235" t="n"/>
      <c r="I450" s="235" t="n"/>
      <c r="J450" s="238" t="n"/>
      <c r="K450" s="239" t="n"/>
      <c r="L450" s="240" t="n"/>
      <c r="M450" s="241" t="n"/>
      <c r="N450" s="241" t="n"/>
      <c r="O450" s="237" t="n"/>
    </row>
    <row r="451" ht="22.5" customHeight="1">
      <c r="B451" s="242" t="inlineStr">
        <is>
          <t>Proje Müdürü Saha-PY</t>
        </is>
      </c>
      <c r="C451" s="240" t="n"/>
      <c r="D451" s="3" t="n">
        <v>0</v>
      </c>
      <c r="E451" s="4" t="n"/>
      <c r="F451" s="5">
        <f>D451</f>
        <v/>
      </c>
      <c r="G451" s="6" t="inlineStr">
        <is>
          <t>Şantiye Şefi-Mukas</t>
        </is>
      </c>
      <c r="H451" s="7" t="n">
        <v>0</v>
      </c>
      <c r="I451" s="8" t="n"/>
      <c r="J451" s="5">
        <f>H451</f>
        <v/>
      </c>
      <c r="K451" s="162" t="inlineStr">
        <is>
          <t>JCB</t>
        </is>
      </c>
      <c r="L451" s="219" t="n"/>
      <c r="M451" s="9" t="n"/>
      <c r="N451" s="9" t="n"/>
      <c r="O451" s="10" t="n">
        <v>0</v>
      </c>
    </row>
    <row r="452" ht="26.25" customHeight="1">
      <c r="B452" s="242" t="inlineStr">
        <is>
          <t>Proje Müdürü Merkez-PY</t>
        </is>
      </c>
      <c r="C452" s="240" t="n"/>
      <c r="D452" s="3" t="n">
        <v>0</v>
      </c>
      <c r="E452" s="11" t="n"/>
      <c r="F452" s="5">
        <f>D452</f>
        <v/>
      </c>
      <c r="G452" s="6" t="inlineStr">
        <is>
          <t>İnşaat Mühendisi</t>
        </is>
      </c>
      <c r="H452" s="7" t="n">
        <v>0</v>
      </c>
      <c r="I452" s="12" t="n"/>
      <c r="J452" s="5">
        <f>H452</f>
        <v/>
      </c>
      <c r="K452" s="162" t="inlineStr">
        <is>
          <t>Fore Kazık Makinası</t>
        </is>
      </c>
      <c r="L452" s="219" t="n"/>
      <c r="M452" s="9" t="n"/>
      <c r="N452" s="9" t="n"/>
      <c r="O452" s="10" t="n">
        <v>0</v>
      </c>
    </row>
    <row r="453" ht="24.75" customHeight="1">
      <c r="B453" s="6" t="inlineStr">
        <is>
          <t>Proje Koordinatörü-PY</t>
        </is>
      </c>
      <c r="C453" s="219" t="n"/>
      <c r="D453" s="3" t="n">
        <v>0</v>
      </c>
      <c r="E453" s="11" t="n"/>
      <c r="F453" s="5">
        <f>D453</f>
        <v/>
      </c>
      <c r="G453" s="6" t="inlineStr">
        <is>
          <t>Elektrik Mühendisi</t>
        </is>
      </c>
      <c r="H453" s="7" t="n">
        <v>0</v>
      </c>
      <c r="I453" s="12" t="n"/>
      <c r="J453" s="5">
        <f>H453</f>
        <v/>
      </c>
      <c r="K453" s="162" t="inlineStr">
        <is>
          <t>Beton Pompası</t>
        </is>
      </c>
      <c r="L453" s="219" t="n"/>
      <c r="M453" s="9" t="n"/>
      <c r="N453" s="9" t="n"/>
      <c r="O453" s="10" t="n">
        <v>0</v>
      </c>
    </row>
    <row r="454" ht="23.25" customHeight="1">
      <c r="B454" s="162" t="inlineStr">
        <is>
          <t>Proje Müdürü Mimar-PY</t>
        </is>
      </c>
      <c r="C454" s="219" t="n"/>
      <c r="D454" s="3" t="n">
        <v>0</v>
      </c>
      <c r="E454" s="11" t="n"/>
      <c r="F454" s="5">
        <f>D454</f>
        <v/>
      </c>
      <c r="G454" s="6" t="inlineStr">
        <is>
          <t>Makine Mühendisi</t>
        </is>
      </c>
      <c r="H454" s="7" t="n">
        <v>0</v>
      </c>
      <c r="I454" s="12" t="n"/>
      <c r="J454" s="5">
        <f>H454</f>
        <v/>
      </c>
      <c r="K454" s="162" t="inlineStr">
        <is>
          <t>Ekskavatör</t>
        </is>
      </c>
      <c r="L454" s="219" t="n"/>
      <c r="M454" s="9" t="n"/>
      <c r="N454" s="9" t="n"/>
      <c r="O454" s="10" t="n">
        <v>0</v>
      </c>
    </row>
    <row r="455" ht="26.25" customHeight="1">
      <c r="B455" s="162" t="inlineStr">
        <is>
          <t>Proje Elektrik Yüksek Mühendisi-PY</t>
        </is>
      </c>
      <c r="C455" s="219" t="n"/>
      <c r="D455" s="3" t="n">
        <v>0</v>
      </c>
      <c r="E455" s="11" t="n"/>
      <c r="F455" s="5">
        <f>D455</f>
        <v/>
      </c>
      <c r="G455" s="6" t="inlineStr">
        <is>
          <t>Formen</t>
        </is>
      </c>
      <c r="H455" s="7" t="n">
        <v>0</v>
      </c>
      <c r="I455" s="12" t="n"/>
      <c r="J455" s="5">
        <f>H455</f>
        <v/>
      </c>
      <c r="K455" s="162" t="inlineStr">
        <is>
          <t>Kamyon</t>
        </is>
      </c>
      <c r="L455" s="219" t="n"/>
      <c r="M455" s="9" t="n"/>
      <c r="N455" s="9" t="n"/>
      <c r="O455" s="10" t="n">
        <v>0</v>
      </c>
    </row>
    <row r="456" ht="26.25" customHeight="1">
      <c r="B456" s="162" t="inlineStr">
        <is>
          <t>Proje Müdürü Makine Mühendisi-PY</t>
        </is>
      </c>
      <c r="C456" s="219" t="n"/>
      <c r="D456" s="3" t="n">
        <v>0</v>
      </c>
      <c r="E456" s="11" t="n"/>
      <c r="F456" s="5">
        <f>D456</f>
        <v/>
      </c>
      <c r="G456" s="6" t="inlineStr">
        <is>
          <t>İş Güvenliği Uzmanı</t>
        </is>
      </c>
      <c r="H456" s="7" t="n">
        <v>0</v>
      </c>
      <c r="I456" s="12" t="n"/>
      <c r="J456" s="5">
        <f>H456</f>
        <v/>
      </c>
      <c r="K456" s="162" t="inlineStr">
        <is>
          <t>Kırıcılı Ekskavatör</t>
        </is>
      </c>
      <c r="L456" s="219" t="n"/>
      <c r="M456" s="9" t="n"/>
      <c r="N456" s="9" t="n"/>
      <c r="O456" s="10" t="n">
        <v>0</v>
      </c>
    </row>
    <row r="457" ht="26.25" customHeight="1">
      <c r="B457" s="162" t="n"/>
      <c r="C457" s="219" t="n"/>
      <c r="D457" s="3" t="n"/>
      <c r="E457" s="11" t="n"/>
      <c r="F457" s="5" t="n"/>
      <c r="G457" s="6" t="inlineStr">
        <is>
          <t>Saha İşçisi</t>
        </is>
      </c>
      <c r="H457" s="7" t="n">
        <v>0</v>
      </c>
      <c r="I457" s="12" t="n"/>
      <c r="J457" s="5">
        <f>H457</f>
        <v/>
      </c>
      <c r="K457" s="162" t="inlineStr">
        <is>
          <t>Vinç</t>
        </is>
      </c>
      <c r="L457" s="219" t="n"/>
      <c r="M457" s="9" t="n"/>
      <c r="N457" s="9" t="n"/>
      <c r="O457" s="10" t="n">
        <v>0</v>
      </c>
    </row>
    <row r="458" ht="26.25" customHeight="1">
      <c r="B458" s="162" t="n"/>
      <c r="C458" s="219" t="n"/>
      <c r="D458" s="3" t="n"/>
      <c r="E458" s="11" t="n"/>
      <c r="F458" s="5" t="n"/>
      <c r="G458" s="6" t="inlineStr">
        <is>
          <t>Topoğraf</t>
        </is>
      </c>
      <c r="H458" s="7" t="n">
        <v>0</v>
      </c>
      <c r="I458" s="12" t="n"/>
      <c r="J458" s="5">
        <f>H458</f>
        <v/>
      </c>
      <c r="K458" s="162" t="inlineStr">
        <is>
          <t>Silindir</t>
        </is>
      </c>
      <c r="L458" s="219" t="n"/>
      <c r="M458" s="9" t="n"/>
      <c r="N458" s="9" t="n"/>
      <c r="O458" s="10" t="n">
        <v>0</v>
      </c>
    </row>
    <row r="459" ht="26.25" customHeight="1">
      <c r="B459" s="162" t="n"/>
      <c r="C459" s="219" t="n"/>
      <c r="D459" s="3" t="n"/>
      <c r="E459" s="11" t="n"/>
      <c r="F459" s="5" t="n"/>
      <c r="G459" s="6" t="n"/>
      <c r="H459" s="7" t="n"/>
      <c r="I459" s="12" t="n"/>
      <c r="J459" s="13" t="n"/>
      <c r="K459" s="162" t="n"/>
      <c r="L459" s="219" t="n"/>
      <c r="M459" s="9" t="n"/>
      <c r="N459" s="9" t="n"/>
      <c r="O459" s="10" t="n"/>
    </row>
    <row r="460" ht="26.25" customHeight="1">
      <c r="B460" s="243" t="n"/>
      <c r="C460" s="219" t="n"/>
      <c r="D460" s="14" t="n"/>
      <c r="E460" s="11" t="n"/>
      <c r="F460" s="5" t="n"/>
      <c r="G460" s="6" t="n"/>
      <c r="H460" s="15" t="n"/>
      <c r="I460" s="12" t="n"/>
      <c r="J460" s="13" t="n"/>
      <c r="K460" s="244" t="inlineStr">
        <is>
          <t xml:space="preserve"> Toplam</t>
        </is>
      </c>
      <c r="L460" s="218" t="n"/>
      <c r="M460" s="218" t="n"/>
      <c r="N460" s="219" t="n"/>
      <c r="O460" s="16">
        <f>SUM(O451:O459)</f>
        <v/>
      </c>
    </row>
    <row r="461" ht="26.25" customHeight="1">
      <c r="B461" s="243" t="n"/>
      <c r="C461" s="219" t="n"/>
      <c r="D461" s="14" t="n"/>
      <c r="E461" s="11" t="n"/>
      <c r="F461" s="5" t="n"/>
      <c r="G461" s="6" t="n"/>
      <c r="H461" s="15" t="n"/>
      <c r="I461" s="12" t="n"/>
      <c r="J461" s="13" t="n"/>
      <c r="K461" s="245" t="inlineStr">
        <is>
          <t>GÜNLÜK GELEN MALZEME LİSTESİ</t>
        </is>
      </c>
      <c r="L461" s="218" t="n"/>
      <c r="M461" s="218" t="n"/>
      <c r="N461" s="218" t="n"/>
      <c r="O461" s="220" t="n"/>
    </row>
    <row r="462" ht="26.25" customHeight="1">
      <c r="A462" s="1" t="inlineStr">
        <is>
          <t xml:space="preserve"> </t>
        </is>
      </c>
      <c r="B462" s="243" t="n"/>
      <c r="C462" s="219" t="n"/>
      <c r="D462" s="3" t="n"/>
      <c r="E462" s="17" t="n"/>
      <c r="F462" s="5" t="n"/>
      <c r="G462" s="6" t="n"/>
      <c r="H462" s="15" t="n"/>
      <c r="I462" s="18" t="n"/>
      <c r="J462" s="13" t="n"/>
      <c r="K462" s="246" t="n"/>
      <c r="L462" s="218" t="n"/>
      <c r="M462" s="219" t="n"/>
      <c r="N462" s="16" t="n"/>
      <c r="O462" s="220" t="n"/>
    </row>
    <row r="463" ht="26.25" customHeight="1">
      <c r="B463" s="243" t="n"/>
      <c r="C463" s="219" t="n"/>
      <c r="D463" s="3" t="n"/>
      <c r="E463" s="17" t="n"/>
      <c r="F463" s="5" t="n"/>
      <c r="G463" s="6" t="n"/>
      <c r="H463" s="15" t="n"/>
      <c r="I463" s="18" t="n"/>
      <c r="J463" s="13" t="n"/>
      <c r="K463" s="246" t="n"/>
      <c r="L463" s="218" t="n"/>
      <c r="M463" s="219" t="n"/>
      <c r="N463" s="16" t="n"/>
      <c r="O463" s="220" t="n"/>
    </row>
    <row r="464" ht="26.25" customHeight="1">
      <c r="B464" s="21" t="n"/>
      <c r="C464" s="219" t="n"/>
      <c r="D464" s="19" t="n"/>
      <c r="E464" s="20" t="n"/>
      <c r="F464" s="5" t="n"/>
      <c r="G464" s="21" t="n"/>
      <c r="H464" s="22" t="n"/>
      <c r="I464" s="23" t="n"/>
      <c r="J464" s="13" t="n"/>
      <c r="K464" s="246" t="n"/>
      <c r="L464" s="218" t="n"/>
      <c r="M464" s="219" t="n"/>
      <c r="N464" s="247" t="n"/>
      <c r="O464" s="220" t="n"/>
    </row>
    <row r="465" ht="27" customHeight="1">
      <c r="B465" s="27" t="inlineStr">
        <is>
          <t>Toplam</t>
        </is>
      </c>
      <c r="C465" s="219" t="n"/>
      <c r="D465" s="24">
        <f>SUM(D451:D464)</f>
        <v/>
      </c>
      <c r="E465" s="25" t="inlineStr">
        <is>
          <t>G. Toplam</t>
        </is>
      </c>
      <c r="F465" s="58">
        <f>SUM(F451:F464)</f>
        <v/>
      </c>
      <c r="G465" s="27" t="inlineStr">
        <is>
          <t>Toplam</t>
        </is>
      </c>
      <c r="H465" s="28">
        <f>SUM(H451:H464)</f>
        <v/>
      </c>
      <c r="I465" s="29" t="inlineStr">
        <is>
          <t>G. Toplam</t>
        </is>
      </c>
      <c r="J465" s="26">
        <f>SUM(J451:J464)</f>
        <v/>
      </c>
      <c r="K465" s="246" t="n"/>
      <c r="L465" s="218" t="n"/>
      <c r="M465" s="219" t="n"/>
      <c r="N465" s="247" t="n"/>
      <c r="O465" s="220" t="n"/>
    </row>
    <row r="466" ht="27" customHeight="1" thickBot="1">
      <c r="B466" s="143" t="inlineStr">
        <is>
          <t>GENEL TOPLAM</t>
        </is>
      </c>
      <c r="C466" s="222" t="n"/>
      <c r="D466" s="222" t="n"/>
      <c r="E466" s="222" t="n"/>
      <c r="F466" s="222" t="n"/>
      <c r="G466" s="222" t="n"/>
      <c r="H466" s="222" t="n"/>
      <c r="I466" s="222" t="n"/>
      <c r="J466" s="30">
        <f>F465+J465</f>
        <v/>
      </c>
      <c r="K466" s="246" t="n"/>
      <c r="L466" s="218" t="n"/>
      <c r="M466" s="219" t="n"/>
      <c r="N466" s="247" t="n"/>
      <c r="O466" s="220" t="n"/>
    </row>
    <row r="467" ht="12.6" customHeight="1">
      <c r="B467" s="248" t="inlineStr">
        <is>
          <t>ALTYÜKLENİCİ EKİPLERİ PUANTAJI</t>
        </is>
      </c>
      <c r="C467" s="228" t="n"/>
      <c r="D467" s="228" t="n"/>
      <c r="E467" s="228" t="n"/>
      <c r="F467" s="228" t="n"/>
      <c r="G467" s="228" t="n"/>
      <c r="H467" s="228" t="n"/>
      <c r="I467" s="228" t="n"/>
      <c r="J467" s="228" t="n"/>
      <c r="K467" s="228" t="n"/>
      <c r="L467" s="228" t="n"/>
      <c r="M467" s="228" t="n"/>
      <c r="N467" s="228" t="n"/>
      <c r="O467" s="249" t="n"/>
    </row>
    <row r="468" ht="8.4" customHeight="1">
      <c r="B468" s="239" t="n"/>
      <c r="C468" s="250" t="n"/>
      <c r="D468" s="250" t="n"/>
      <c r="E468" s="250" t="n"/>
      <c r="F468" s="250" t="n"/>
      <c r="G468" s="250" t="n"/>
      <c r="H468" s="250" t="n"/>
      <c r="I468" s="250" t="n"/>
      <c r="J468" s="250" t="n"/>
      <c r="K468" s="250" t="n"/>
      <c r="L468" s="250" t="n"/>
      <c r="M468" s="250" t="n"/>
      <c r="N468" s="250" t="n"/>
      <c r="O468" s="251" t="n"/>
    </row>
    <row r="469" ht="22.5" customHeight="1">
      <c r="B469" s="127" t="inlineStr">
        <is>
          <t>KABA İNŞAAT EKİBİ</t>
        </is>
      </c>
      <c r="C469" s="218" t="n"/>
      <c r="D469" s="218" t="n"/>
      <c r="E469" s="219" t="n"/>
      <c r="F469" s="129" t="inlineStr">
        <is>
          <t>EKİP</t>
        </is>
      </c>
      <c r="G469" s="218" t="n"/>
      <c r="H469" s="218" t="n"/>
      <c r="I469" s="219" t="n"/>
      <c r="J469" s="133" t="inlineStr">
        <is>
          <t>HAFRİYAT EKİBİ</t>
        </is>
      </c>
      <c r="K469" s="218" t="n"/>
      <c r="L469" s="219" t="n"/>
      <c r="M469" s="134" t="inlineStr">
        <is>
          <t>İZOLASYON EKİBİ</t>
        </is>
      </c>
      <c r="N469" s="218" t="n"/>
      <c r="O469" s="219" t="n"/>
    </row>
    <row r="470" ht="26.25" customHeight="1">
      <c r="B470" s="127" t="inlineStr">
        <is>
          <t>PERSONEL</t>
        </is>
      </c>
      <c r="C470" s="219" t="n"/>
      <c r="D470" s="34" t="inlineStr">
        <is>
          <t>PUANTAJ</t>
        </is>
      </c>
      <c r="E470" s="128" t="inlineStr">
        <is>
          <t>KÜMÜLATİF PUANTAJ</t>
        </is>
      </c>
      <c r="F470" s="129" t="inlineStr">
        <is>
          <t>PERSONEL</t>
        </is>
      </c>
      <c r="G470" s="219" t="n"/>
      <c r="H470" s="35" t="inlineStr">
        <is>
          <t>PUANTAJ</t>
        </is>
      </c>
      <c r="I470" s="129" t="inlineStr">
        <is>
          <t>KÜMÜLATİF PUANTAJ</t>
        </is>
      </c>
      <c r="J470" s="133" t="inlineStr">
        <is>
          <t>PERSONEL</t>
        </is>
      </c>
      <c r="K470" s="34" t="inlineStr">
        <is>
          <t>PUANTAJ</t>
        </is>
      </c>
      <c r="L470" s="128" t="inlineStr">
        <is>
          <t>KÜMÜLATİF PUANTAJ</t>
        </is>
      </c>
      <c r="M470" s="36" t="inlineStr">
        <is>
          <t>PERSONEL</t>
        </is>
      </c>
      <c r="N470" s="35" t="inlineStr">
        <is>
          <t>PUANTAJ</t>
        </is>
      </c>
      <c r="O470" s="37" t="inlineStr">
        <is>
          <t>KÜMÜLATİF PUANTAJ</t>
        </is>
      </c>
    </row>
    <row r="471" ht="21" customFormat="1" customHeight="1" s="38">
      <c r="B471" s="107" t="inlineStr">
        <is>
          <t>Saha Mühendisi</t>
        </is>
      </c>
      <c r="C471" s="219" t="n"/>
      <c r="D471" s="39" t="n">
        <v>0</v>
      </c>
      <c r="E471" s="40">
        <f>D471</f>
        <v/>
      </c>
      <c r="F471" s="109" t="inlineStr">
        <is>
          <t>Saha Mühendisi</t>
        </is>
      </c>
      <c r="G471" s="219" t="n"/>
      <c r="H471" s="15" t="n">
        <v>0</v>
      </c>
      <c r="I471" s="41">
        <f>H471</f>
        <v/>
      </c>
      <c r="J471" s="42" t="inlineStr">
        <is>
          <t>Saha Mühendisi</t>
        </is>
      </c>
      <c r="K471" s="39" t="n">
        <v>0</v>
      </c>
      <c r="L471" s="40">
        <f>K471</f>
        <v/>
      </c>
      <c r="M471" s="43" t="inlineStr">
        <is>
          <t>Saha Mühendisi</t>
        </is>
      </c>
      <c r="N471" s="15" t="n">
        <v>0</v>
      </c>
      <c r="O471" s="10">
        <f>N471</f>
        <v/>
      </c>
    </row>
    <row r="472" ht="21" customFormat="1" customHeight="1" s="38">
      <c r="B472" s="107" t="inlineStr">
        <is>
          <t>Kalfa (Formen)</t>
        </is>
      </c>
      <c r="C472" s="219" t="n"/>
      <c r="D472" s="39" t="n">
        <v>0</v>
      </c>
      <c r="E472" s="40">
        <f>D472</f>
        <v/>
      </c>
      <c r="F472" s="109" t="inlineStr">
        <is>
          <t>Kalfa</t>
        </is>
      </c>
      <c r="G472" s="219" t="n"/>
      <c r="H472" s="15" t="n">
        <v>0</v>
      </c>
      <c r="I472" s="41">
        <f>H472</f>
        <v/>
      </c>
      <c r="J472" s="42" t="inlineStr">
        <is>
          <t>Kalfa</t>
        </is>
      </c>
      <c r="K472" s="39" t="n">
        <v>0</v>
      </c>
      <c r="L472" s="40">
        <f>K472</f>
        <v/>
      </c>
      <c r="M472" s="43" t="inlineStr">
        <is>
          <t>Kalfa</t>
        </is>
      </c>
      <c r="N472" s="15" t="n">
        <v>0</v>
      </c>
      <c r="O472" s="10">
        <f>N472</f>
        <v/>
      </c>
    </row>
    <row r="473" ht="21" customFormat="1" customHeight="1" s="38">
      <c r="B473" s="107" t="inlineStr">
        <is>
          <t>Usta ( Kalıpçı)</t>
        </is>
      </c>
      <c r="C473" s="219" t="n"/>
      <c r="D473" s="39" t="n">
        <v>0</v>
      </c>
      <c r="E473" s="40">
        <f>D473</f>
        <v/>
      </c>
      <c r="F473" s="109" t="inlineStr">
        <is>
          <t>Usta</t>
        </is>
      </c>
      <c r="G473" s="219" t="n"/>
      <c r="H473" s="15" t="n">
        <v>0</v>
      </c>
      <c r="I473" s="41">
        <f>H473</f>
        <v/>
      </c>
      <c r="J473" s="42" t="inlineStr">
        <is>
          <t>Topograf</t>
        </is>
      </c>
      <c r="K473" s="39" t="n">
        <v>0</v>
      </c>
      <c r="L473" s="40">
        <f>K473</f>
        <v/>
      </c>
      <c r="M473" s="43" t="inlineStr">
        <is>
          <t xml:space="preserve">Usta </t>
        </is>
      </c>
      <c r="N473" s="15" t="n">
        <v>0</v>
      </c>
      <c r="O473" s="10">
        <f>N473</f>
        <v/>
      </c>
    </row>
    <row r="474" ht="21" customFormat="1" customHeight="1" s="38">
      <c r="B474" s="107" t="inlineStr">
        <is>
          <t>Usta ( Demirci)</t>
        </is>
      </c>
      <c r="C474" s="219" t="n"/>
      <c r="D474" s="39" t="n">
        <v>0</v>
      </c>
      <c r="E474" s="40">
        <f>D474</f>
        <v/>
      </c>
      <c r="F474" s="109" t="inlineStr">
        <is>
          <t>Beden İşçisi</t>
        </is>
      </c>
      <c r="G474" s="219" t="n"/>
      <c r="H474" s="15" t="n">
        <v>0</v>
      </c>
      <c r="I474" s="41">
        <f>H474</f>
        <v/>
      </c>
      <c r="J474" s="42" t="inlineStr">
        <is>
          <t>Beden İşçisi</t>
        </is>
      </c>
      <c r="K474" s="39" t="n">
        <v>0</v>
      </c>
      <c r="L474" s="40">
        <f>K474</f>
        <v/>
      </c>
      <c r="M474" s="43" t="inlineStr">
        <is>
          <t>Beden İşçisi</t>
        </is>
      </c>
      <c r="N474" s="15" t="n">
        <v>0</v>
      </c>
      <c r="O474" s="10">
        <f>N474</f>
        <v/>
      </c>
    </row>
    <row r="475" ht="21" customFormat="1" customHeight="1" s="38">
      <c r="B475" s="107" t="inlineStr">
        <is>
          <t>Beden İşçisi</t>
        </is>
      </c>
      <c r="C475" s="219" t="n"/>
      <c r="D475" s="39" t="n">
        <v>0</v>
      </c>
      <c r="E475" s="40">
        <f>D475</f>
        <v/>
      </c>
      <c r="F475" s="109" t="inlineStr">
        <is>
          <t>İş. Mak. Opr.</t>
        </is>
      </c>
      <c r="G475" s="219" t="n"/>
      <c r="H475" s="15" t="n">
        <v>0</v>
      </c>
      <c r="I475" s="41">
        <f>H475</f>
        <v/>
      </c>
      <c r="J475" s="42" t="inlineStr">
        <is>
          <t>İş. Mak. Opr. (Eks.)</t>
        </is>
      </c>
      <c r="K475" s="39" t="n">
        <v>0</v>
      </c>
      <c r="L475" s="40">
        <f>K475</f>
        <v/>
      </c>
      <c r="M475" s="43" t="n"/>
      <c r="N475" s="15" t="n"/>
      <c r="O475" s="10" t="n"/>
    </row>
    <row r="476" ht="21" customFormat="1" customHeight="1" s="38">
      <c r="B476" s="107" t="inlineStr">
        <is>
          <t>İş. Mak. Opr.</t>
        </is>
      </c>
      <c r="C476" s="219" t="n"/>
      <c r="D476" s="39" t="n">
        <v>0</v>
      </c>
      <c r="E476" s="40">
        <f>D476</f>
        <v/>
      </c>
      <c r="F476" s="109" t="inlineStr">
        <is>
          <t>Test Ekibi</t>
        </is>
      </c>
      <c r="G476" s="219" t="n"/>
      <c r="H476" s="15" t="n">
        <v>0</v>
      </c>
      <c r="I476" s="41">
        <f>H476</f>
        <v/>
      </c>
      <c r="J476" s="42" t="inlineStr">
        <is>
          <t>Şoför (Kamyon)</t>
        </is>
      </c>
      <c r="K476" s="39" t="n">
        <v>0</v>
      </c>
      <c r="L476" s="40">
        <f>K476</f>
        <v/>
      </c>
      <c r="M476" s="43" t="n"/>
      <c r="N476" s="15" t="n"/>
      <c r="O476" s="10" t="n"/>
    </row>
    <row r="477" ht="21" customHeight="1">
      <c r="B477" s="130" t="inlineStr">
        <is>
          <t>TOPLAMLAR</t>
        </is>
      </c>
      <c r="C477" s="219" t="n"/>
      <c r="D477" s="34">
        <f>SUM(D471:D476)</f>
        <v/>
      </c>
      <c r="E477" s="34">
        <f>SUM(E471:E476)</f>
        <v/>
      </c>
      <c r="F477" s="132" t="inlineStr">
        <is>
          <t>TOPLAMLAR</t>
        </is>
      </c>
      <c r="G477" s="219" t="n"/>
      <c r="H477" s="35">
        <f>SUM(H471:H476)</f>
        <v/>
      </c>
      <c r="I477" s="35">
        <f>SUM(I471:I476)</f>
        <v/>
      </c>
      <c r="J477" s="133" t="inlineStr">
        <is>
          <t>TOPLAMLAR</t>
        </is>
      </c>
      <c r="K477" s="34">
        <f>SUM(K471:K476)</f>
        <v/>
      </c>
      <c r="L477" s="34">
        <f>SUM(L471:L476)</f>
        <v/>
      </c>
      <c r="M477" s="36" t="inlineStr">
        <is>
          <t>TOPLAMLAR</t>
        </is>
      </c>
      <c r="N477" s="35">
        <f>SUM(N471:N476)</f>
        <v/>
      </c>
      <c r="O477" s="44">
        <f>SUM(O471:O476)</f>
        <v/>
      </c>
    </row>
    <row r="478" ht="10.95" customHeight="1">
      <c r="B478" s="252" t="n"/>
      <c r="C478" s="218" t="n"/>
      <c r="D478" s="218" t="n"/>
      <c r="E478" s="218" t="n"/>
      <c r="F478" s="218" t="n"/>
      <c r="G478" s="218" t="n"/>
      <c r="H478" s="218" t="n"/>
      <c r="I478" s="218" t="n"/>
      <c r="J478" s="218" t="n"/>
      <c r="K478" s="218" t="n"/>
      <c r="L478" s="218" t="n"/>
      <c r="M478" s="218" t="n"/>
      <c r="N478" s="218" t="n"/>
      <c r="O478" s="220" t="n"/>
    </row>
    <row r="479" ht="26.25" customHeight="1">
      <c r="B479" s="127" t="inlineStr">
        <is>
          <t>EKİP</t>
        </is>
      </c>
      <c r="C479" s="218" t="n"/>
      <c r="D479" s="218" t="n"/>
      <c r="E479" s="219" t="n"/>
      <c r="F479" s="129" t="inlineStr">
        <is>
          <t xml:space="preserve">CEPHE- ÇATI EKİBİ </t>
        </is>
      </c>
      <c r="G479" s="218" t="n"/>
      <c r="H479" s="218" t="n"/>
      <c r="I479" s="219" t="n"/>
      <c r="J479" s="133" t="inlineStr">
        <is>
          <t xml:space="preserve">MEKANİK EKİBİ </t>
        </is>
      </c>
      <c r="K479" s="218" t="n"/>
      <c r="L479" s="219" t="n"/>
      <c r="M479" s="134" t="inlineStr">
        <is>
          <t xml:space="preserve">ELEKTRİK EKİBİ </t>
        </is>
      </c>
      <c r="N479" s="218" t="n"/>
      <c r="O479" s="219" t="n"/>
    </row>
    <row r="480" ht="26.25" customHeight="1">
      <c r="B480" s="127" t="inlineStr">
        <is>
          <t>PERSONEL</t>
        </is>
      </c>
      <c r="C480" s="219" t="n"/>
      <c r="D480" s="34" t="inlineStr">
        <is>
          <t>PUANTAJ</t>
        </is>
      </c>
      <c r="E480" s="128" t="inlineStr">
        <is>
          <t>KÜMÜLATİF PUANTAJ</t>
        </is>
      </c>
      <c r="F480" s="129" t="inlineStr">
        <is>
          <t>PERSONEL</t>
        </is>
      </c>
      <c r="G480" s="219" t="n"/>
      <c r="H480" s="35" t="inlineStr">
        <is>
          <t>PUANTAJ</t>
        </is>
      </c>
      <c r="I480" s="129" t="inlineStr">
        <is>
          <t>KÜMÜLATİF PUANTAJ</t>
        </is>
      </c>
      <c r="J480" s="133" t="inlineStr">
        <is>
          <t>PERSONEL</t>
        </is>
      </c>
      <c r="K480" s="34" t="inlineStr">
        <is>
          <t>PUANTAJ</t>
        </is>
      </c>
      <c r="L480" s="128" t="inlineStr">
        <is>
          <t>KÜMÜLATİF PUANTAJ</t>
        </is>
      </c>
      <c r="M480" s="36" t="inlineStr">
        <is>
          <t>PERSONEL</t>
        </is>
      </c>
      <c r="N480" s="35" t="inlineStr">
        <is>
          <t>PUANTAJ</t>
        </is>
      </c>
      <c r="O480" s="37" t="inlineStr">
        <is>
          <t>KÜMÜLATİF PUANTAJ</t>
        </is>
      </c>
    </row>
    <row r="481" ht="21" customHeight="1">
      <c r="B481" s="107" t="inlineStr">
        <is>
          <t>Saha Mühendisi</t>
        </is>
      </c>
      <c r="C481" s="219" t="n"/>
      <c r="D481" s="39" t="n">
        <v>0</v>
      </c>
      <c r="E481" s="39">
        <f>D481</f>
        <v/>
      </c>
      <c r="F481" s="109" t="inlineStr">
        <is>
          <t>Saha Mühendisi</t>
        </is>
      </c>
      <c r="G481" s="219" t="n"/>
      <c r="H481" s="15" t="n">
        <v>0</v>
      </c>
      <c r="I481" s="15">
        <f>H481</f>
        <v/>
      </c>
      <c r="J481" s="42" t="inlineStr">
        <is>
          <t>Saha Mühendisi</t>
        </is>
      </c>
      <c r="K481" s="39" t="n">
        <v>0</v>
      </c>
      <c r="L481" s="39">
        <f>K481</f>
        <v/>
      </c>
      <c r="M481" s="43" t="inlineStr">
        <is>
          <t>Saha Mühendisi</t>
        </is>
      </c>
      <c r="N481" s="15" t="n">
        <v>0</v>
      </c>
      <c r="O481" s="10">
        <f>N481</f>
        <v/>
      </c>
    </row>
    <row r="482" ht="21" customHeight="1">
      <c r="B482" s="107" t="inlineStr">
        <is>
          <t>Kalfa</t>
        </is>
      </c>
      <c r="C482" s="219" t="n"/>
      <c r="D482" s="39" t="n">
        <v>0</v>
      </c>
      <c r="E482" s="39">
        <f>D482</f>
        <v/>
      </c>
      <c r="F482" s="109" t="inlineStr">
        <is>
          <t>Kalfa</t>
        </is>
      </c>
      <c r="G482" s="219" t="n"/>
      <c r="H482" s="15" t="n">
        <v>0</v>
      </c>
      <c r="I482" s="15">
        <f>H482</f>
        <v/>
      </c>
      <c r="J482" s="42" t="inlineStr">
        <is>
          <t>Kalfa</t>
        </is>
      </c>
      <c r="K482" s="39" t="n">
        <v>0</v>
      </c>
      <c r="L482" s="39">
        <f>K482</f>
        <v/>
      </c>
      <c r="M482" s="43" t="inlineStr">
        <is>
          <t>Kalfa</t>
        </is>
      </c>
      <c r="N482" s="15" t="n">
        <v>0</v>
      </c>
      <c r="O482" s="10">
        <f>N482</f>
        <v/>
      </c>
    </row>
    <row r="483" ht="21" customHeight="1">
      <c r="B483" s="107" t="inlineStr">
        <is>
          <t xml:space="preserve">Usta </t>
        </is>
      </c>
      <c r="C483" s="219" t="n"/>
      <c r="D483" s="39" t="n">
        <v>0</v>
      </c>
      <c r="E483" s="39">
        <f>D483</f>
        <v/>
      </c>
      <c r="F483" s="109" t="inlineStr">
        <is>
          <t xml:space="preserve">Usta </t>
        </is>
      </c>
      <c r="G483" s="219" t="n"/>
      <c r="H483" s="15" t="n">
        <v>0</v>
      </c>
      <c r="I483" s="15">
        <f>H483</f>
        <v/>
      </c>
      <c r="J483" s="42" t="inlineStr">
        <is>
          <t xml:space="preserve">Usta </t>
        </is>
      </c>
      <c r="K483" s="39" t="n">
        <v>0</v>
      </c>
      <c r="L483" s="39">
        <f>K483</f>
        <v/>
      </c>
      <c r="M483" s="43" t="inlineStr">
        <is>
          <t xml:space="preserve">Usta </t>
        </is>
      </c>
      <c r="N483" s="15" t="n">
        <v>0</v>
      </c>
      <c r="O483" s="10">
        <f>N483</f>
        <v/>
      </c>
    </row>
    <row r="484" ht="21" customHeight="1">
      <c r="B484" s="107" t="inlineStr">
        <is>
          <t>Beden İşçisi</t>
        </is>
      </c>
      <c r="C484" s="219" t="n"/>
      <c r="D484" s="39" t="n">
        <v>0</v>
      </c>
      <c r="E484" s="39">
        <f>D484</f>
        <v/>
      </c>
      <c r="F484" s="109" t="inlineStr">
        <is>
          <t>Beden İşçisi</t>
        </is>
      </c>
      <c r="G484" s="219" t="n"/>
      <c r="H484" s="15" t="n">
        <v>0</v>
      </c>
      <c r="I484" s="15">
        <f>H484</f>
        <v/>
      </c>
      <c r="J484" s="42" t="inlineStr">
        <is>
          <t>Beden İşçisi</t>
        </is>
      </c>
      <c r="K484" s="39" t="n">
        <v>0</v>
      </c>
      <c r="L484" s="39">
        <f>K484</f>
        <v/>
      </c>
      <c r="M484" s="43" t="inlineStr">
        <is>
          <t>Beden İşçisi</t>
        </is>
      </c>
      <c r="N484" s="15" t="n">
        <v>0</v>
      </c>
      <c r="O484" s="10">
        <f>N484</f>
        <v/>
      </c>
    </row>
    <row r="485" ht="21" customHeight="1">
      <c r="B485" s="107" t="inlineStr">
        <is>
          <t>İş. Mak. Opr.</t>
        </is>
      </c>
      <c r="C485" s="219" t="n"/>
      <c r="D485" s="39" t="n">
        <v>0</v>
      </c>
      <c r="E485" s="39">
        <f>D485</f>
        <v/>
      </c>
      <c r="F485" s="109" t="inlineStr">
        <is>
          <t>İş. Mak. Opr.</t>
        </is>
      </c>
      <c r="G485" s="219" t="n"/>
      <c r="H485" s="15" t="n">
        <v>0</v>
      </c>
      <c r="I485" s="15">
        <f>H485</f>
        <v/>
      </c>
      <c r="J485" s="42" t="inlineStr">
        <is>
          <t>İş. Mak. Opr.</t>
        </is>
      </c>
      <c r="K485" s="39" t="n">
        <v>0</v>
      </c>
      <c r="L485" s="39">
        <f>K485</f>
        <v/>
      </c>
      <c r="M485" s="43" t="inlineStr">
        <is>
          <t>İş. Mak. Opr.</t>
        </is>
      </c>
      <c r="N485" s="15" t="n">
        <v>0</v>
      </c>
      <c r="O485" s="10">
        <f>N485</f>
        <v/>
      </c>
    </row>
    <row r="486" ht="21" customFormat="1" customHeight="1" s="45">
      <c r="B486" s="130" t="inlineStr">
        <is>
          <t>TOPLAMLAR</t>
        </is>
      </c>
      <c r="C486" s="219" t="n"/>
      <c r="D486" s="34">
        <f>SUM(D480:D485)</f>
        <v/>
      </c>
      <c r="E486" s="34">
        <f>SUM(E481:E485)</f>
        <v/>
      </c>
      <c r="F486" s="132" t="inlineStr">
        <is>
          <t>TOPLAMLAR</t>
        </is>
      </c>
      <c r="G486" s="219" t="n"/>
      <c r="H486" s="35">
        <f>SUM(H480:H485)</f>
        <v/>
      </c>
      <c r="I486" s="35">
        <f>SUM(I481:I485)</f>
        <v/>
      </c>
      <c r="J486" s="133" t="inlineStr">
        <is>
          <t>TOPLAMLAR</t>
        </is>
      </c>
      <c r="K486" s="34">
        <f>SUM(K480:K485)</f>
        <v/>
      </c>
      <c r="L486" s="34">
        <f>SUM(L481:L485)</f>
        <v/>
      </c>
      <c r="M486" s="36" t="inlineStr">
        <is>
          <t>TOPLAMLAR</t>
        </is>
      </c>
      <c r="N486" s="35">
        <f>SUM(N480:N485)</f>
        <v/>
      </c>
      <c r="O486" s="44">
        <f>SUM(O481:O485)</f>
        <v/>
      </c>
    </row>
    <row r="487" ht="10.95" customHeight="1">
      <c r="B487" s="252" t="n"/>
      <c r="C487" s="218" t="n"/>
      <c r="D487" s="218" t="n"/>
      <c r="E487" s="218" t="n"/>
      <c r="F487" s="218" t="n"/>
      <c r="G487" s="218" t="n"/>
      <c r="H487" s="218" t="n"/>
      <c r="I487" s="218" t="n"/>
      <c r="J487" s="218" t="n"/>
      <c r="K487" s="218" t="n"/>
      <c r="L487" s="218" t="n"/>
      <c r="M487" s="218" t="n"/>
      <c r="N487" s="218" t="n"/>
      <c r="O487" s="220" t="n"/>
    </row>
    <row r="488" ht="26.25" customHeight="1">
      <c r="B488" s="127" t="inlineStr">
        <is>
          <t>EKİP</t>
        </is>
      </c>
      <c r="C488" s="218" t="n"/>
      <c r="D488" s="218" t="n"/>
      <c r="E488" s="219" t="n"/>
      <c r="F488" s="129" t="inlineStr">
        <is>
          <t>EKİP</t>
        </is>
      </c>
      <c r="G488" s="218" t="n"/>
      <c r="H488" s="218" t="n"/>
      <c r="I488" s="219" t="n"/>
      <c r="J488" s="133" t="inlineStr">
        <is>
          <t>EKİP</t>
        </is>
      </c>
      <c r="K488" s="218" t="n"/>
      <c r="L488" s="219" t="n"/>
      <c r="M488" s="133" t="inlineStr">
        <is>
          <t>EKİP</t>
        </is>
      </c>
      <c r="N488" s="218" t="n"/>
      <c r="O488" s="219" t="n"/>
    </row>
    <row r="489" ht="26.25" customHeight="1">
      <c r="B489" s="127" t="inlineStr">
        <is>
          <t>PERSONEL</t>
        </is>
      </c>
      <c r="C489" s="219" t="n"/>
      <c r="D489" s="34" t="inlineStr">
        <is>
          <t>PUANTAJ</t>
        </is>
      </c>
      <c r="E489" s="128" t="inlineStr">
        <is>
          <t>KÜMÜLATİF PUANTAJ</t>
        </is>
      </c>
      <c r="F489" s="129" t="inlineStr">
        <is>
          <t>PERSONEL</t>
        </is>
      </c>
      <c r="G489" s="219" t="n"/>
      <c r="H489" s="35" t="inlineStr">
        <is>
          <t>PUANTAJ</t>
        </is>
      </c>
      <c r="I489" s="129" t="inlineStr">
        <is>
          <t>KÜMÜLATİF PUANTAJ</t>
        </is>
      </c>
      <c r="J489" s="133" t="inlineStr">
        <is>
          <t>PERSONEL</t>
        </is>
      </c>
      <c r="K489" s="34" t="inlineStr">
        <is>
          <t>PUANTAJ</t>
        </is>
      </c>
      <c r="L489" s="128" t="inlineStr">
        <is>
          <t>KÜMÜLATİF PUANTAJ</t>
        </is>
      </c>
      <c r="M489" s="36" t="inlineStr">
        <is>
          <t>PERSONEL</t>
        </is>
      </c>
      <c r="N489" s="35" t="inlineStr">
        <is>
          <t>PUANTAJ</t>
        </is>
      </c>
      <c r="O489" s="37" t="inlineStr">
        <is>
          <t>KÜMÜLATİF PUANTAJ</t>
        </is>
      </c>
    </row>
    <row r="490" ht="22.2" customHeight="1">
      <c r="B490" s="107" t="inlineStr">
        <is>
          <t>Saha Mühendisi</t>
        </is>
      </c>
      <c r="C490" s="219" t="n"/>
      <c r="D490" s="39" t="n">
        <v>0</v>
      </c>
      <c r="E490" s="39">
        <f>D490</f>
        <v/>
      </c>
      <c r="F490" s="109" t="inlineStr">
        <is>
          <t>Saha Mühendisi</t>
        </is>
      </c>
      <c r="G490" s="219" t="n"/>
      <c r="H490" s="15" t="n">
        <v>0</v>
      </c>
      <c r="I490" s="15">
        <f>H490</f>
        <v/>
      </c>
      <c r="J490" s="42" t="inlineStr">
        <is>
          <t>Saha Mühendisi</t>
        </is>
      </c>
      <c r="K490" s="39" t="n">
        <v>0</v>
      </c>
      <c r="L490" s="39">
        <f>K490</f>
        <v/>
      </c>
      <c r="M490" s="43" t="inlineStr">
        <is>
          <t>Saha Mühendisi</t>
        </is>
      </c>
      <c r="N490" s="15" t="n">
        <v>0</v>
      </c>
      <c r="O490" s="10">
        <f>N490</f>
        <v/>
      </c>
    </row>
    <row r="491" ht="22.2" customHeight="1">
      <c r="B491" s="107" t="inlineStr">
        <is>
          <t>Kalfa</t>
        </is>
      </c>
      <c r="C491" s="219" t="n"/>
      <c r="D491" s="39" t="n">
        <v>0</v>
      </c>
      <c r="E491" s="39">
        <f>D491</f>
        <v/>
      </c>
      <c r="F491" s="109" t="inlineStr">
        <is>
          <t>Kalfa</t>
        </is>
      </c>
      <c r="G491" s="219" t="n"/>
      <c r="H491" s="15" t="n">
        <v>0</v>
      </c>
      <c r="I491" s="15">
        <f>H491</f>
        <v/>
      </c>
      <c r="J491" s="42" t="inlineStr">
        <is>
          <t>Kalfa</t>
        </is>
      </c>
      <c r="K491" s="39" t="n">
        <v>0</v>
      </c>
      <c r="L491" s="39">
        <f>K491</f>
        <v/>
      </c>
      <c r="M491" s="43" t="inlineStr">
        <is>
          <t>Kalfa</t>
        </is>
      </c>
      <c r="N491" s="15" t="n">
        <v>0</v>
      </c>
      <c r="O491" s="10">
        <f>N491</f>
        <v/>
      </c>
    </row>
    <row r="492" ht="22.2" customHeight="1">
      <c r="B492" s="107" t="inlineStr">
        <is>
          <t xml:space="preserve">Usta </t>
        </is>
      </c>
      <c r="C492" s="219" t="n"/>
      <c r="D492" s="39" t="n">
        <v>0</v>
      </c>
      <c r="E492" s="39">
        <f>D492</f>
        <v/>
      </c>
      <c r="F492" s="109" t="inlineStr">
        <is>
          <t xml:space="preserve">Usta </t>
        </is>
      </c>
      <c r="G492" s="219" t="n"/>
      <c r="H492" s="15" t="n">
        <v>0</v>
      </c>
      <c r="I492" s="15">
        <f>H492</f>
        <v/>
      </c>
      <c r="J492" s="42" t="inlineStr">
        <is>
          <t xml:space="preserve">Usta </t>
        </is>
      </c>
      <c r="K492" s="39" t="n">
        <v>0</v>
      </c>
      <c r="L492" s="39">
        <f>K492</f>
        <v/>
      </c>
      <c r="M492" s="43" t="inlineStr">
        <is>
          <t xml:space="preserve">Usta </t>
        </is>
      </c>
      <c r="N492" s="15" t="n">
        <v>0</v>
      </c>
      <c r="O492" s="10">
        <f>N492</f>
        <v/>
      </c>
    </row>
    <row r="493" ht="22.2" customHeight="1">
      <c r="B493" s="107" t="inlineStr">
        <is>
          <t>Beden İşçisi</t>
        </is>
      </c>
      <c r="C493" s="219" t="n"/>
      <c r="D493" s="39" t="n">
        <v>0</v>
      </c>
      <c r="E493" s="39">
        <f>D493</f>
        <v/>
      </c>
      <c r="F493" s="109" t="inlineStr">
        <is>
          <t>Beden İşçisi</t>
        </is>
      </c>
      <c r="G493" s="219" t="n"/>
      <c r="H493" s="15" t="n">
        <v>0</v>
      </c>
      <c r="I493" s="15">
        <f>H493</f>
        <v/>
      </c>
      <c r="J493" s="42" t="inlineStr">
        <is>
          <t>Beden İşçisi</t>
        </is>
      </c>
      <c r="K493" s="39" t="n">
        <v>0</v>
      </c>
      <c r="L493" s="39">
        <f>K493</f>
        <v/>
      </c>
      <c r="M493" s="43" t="inlineStr">
        <is>
          <t>Beden İşçisi</t>
        </is>
      </c>
      <c r="N493" s="15" t="n">
        <v>0</v>
      </c>
      <c r="O493" s="10">
        <f>N493</f>
        <v/>
      </c>
    </row>
    <row r="494" ht="22.2" customHeight="1">
      <c r="B494" s="107" t="inlineStr">
        <is>
          <t>İş. Mak. Opr.</t>
        </is>
      </c>
      <c r="C494" s="219" t="n"/>
      <c r="D494" s="39" t="n">
        <v>0</v>
      </c>
      <c r="E494" s="39">
        <f>D494</f>
        <v/>
      </c>
      <c r="F494" s="109" t="inlineStr">
        <is>
          <t>İş. Mak. Opr.</t>
        </is>
      </c>
      <c r="G494" s="219" t="n"/>
      <c r="H494" s="15" t="n">
        <v>0</v>
      </c>
      <c r="I494" s="15">
        <f>H494</f>
        <v/>
      </c>
      <c r="J494" s="42" t="inlineStr">
        <is>
          <t>İş. Mak. Opr.</t>
        </is>
      </c>
      <c r="K494" s="39" t="n">
        <v>0</v>
      </c>
      <c r="L494" s="39">
        <f>K494</f>
        <v/>
      </c>
      <c r="M494" s="43" t="inlineStr">
        <is>
          <t>İş. Mak. Opr.</t>
        </is>
      </c>
      <c r="N494" s="15" t="n">
        <v>0</v>
      </c>
      <c r="O494" s="10">
        <f>N494</f>
        <v/>
      </c>
    </row>
    <row r="495" ht="22.2" customFormat="1" customHeight="1" s="45">
      <c r="B495" s="130" t="inlineStr">
        <is>
          <t>TOPLAMLAR</t>
        </is>
      </c>
      <c r="C495" s="219" t="n"/>
      <c r="D495" s="34">
        <f>SUM(D489:D494)</f>
        <v/>
      </c>
      <c r="E495" s="34">
        <f>SUM(E490:E494)</f>
        <v/>
      </c>
      <c r="F495" s="132" t="inlineStr">
        <is>
          <t>TOPLAMLAR</t>
        </is>
      </c>
      <c r="G495" s="219" t="n"/>
      <c r="H495" s="35">
        <f>SUM(H489:H494)</f>
        <v/>
      </c>
      <c r="I495" s="35">
        <f>SUM(I490:I494)</f>
        <v/>
      </c>
      <c r="J495" s="133" t="inlineStr">
        <is>
          <t>TOPLAMLAR</t>
        </is>
      </c>
      <c r="K495" s="34">
        <f>SUM(K489:K494)</f>
        <v/>
      </c>
      <c r="L495" s="34">
        <f>SUM(L490:L494)</f>
        <v/>
      </c>
      <c r="M495" s="36" t="inlineStr">
        <is>
          <t>TOPLAMLAR</t>
        </is>
      </c>
      <c r="N495" s="35">
        <f>SUM(N489:N494)</f>
        <v/>
      </c>
      <c r="O495" s="44">
        <f>SUM(O490:O494)</f>
        <v/>
      </c>
    </row>
    <row r="496" ht="10.95" customHeight="1">
      <c r="B496" s="252" t="n"/>
      <c r="C496" s="218" t="n"/>
      <c r="D496" s="218" t="n"/>
      <c r="E496" s="218" t="n"/>
      <c r="F496" s="218" t="n"/>
      <c r="G496" s="218" t="n"/>
      <c r="H496" s="218" t="n"/>
      <c r="I496" s="218" t="n"/>
      <c r="J496" s="218" t="n"/>
      <c r="K496" s="218" t="n"/>
      <c r="L496" s="218" t="n"/>
      <c r="M496" s="218" t="n"/>
      <c r="N496" s="218" t="n"/>
      <c r="O496" s="220" t="n"/>
    </row>
    <row r="497" ht="27" customFormat="1" customHeight="1" s="46">
      <c r="B497" s="253" t="inlineStr">
        <is>
          <t>GÜNLÜK TOPLAM</t>
        </is>
      </c>
      <c r="C497" s="218" t="n"/>
      <c r="D497" s="218" t="n"/>
      <c r="E497" s="218" t="n"/>
      <c r="F497" s="218" t="n"/>
      <c r="G497" s="218" t="n"/>
      <c r="H497" s="218" t="n"/>
      <c r="I497" s="218" t="n"/>
      <c r="J497" s="218" t="n"/>
      <c r="K497" s="218" t="n"/>
      <c r="L497" s="218" t="n"/>
      <c r="M497" s="219" t="n"/>
      <c r="N497" s="254">
        <f>D477+H477+K477+N477+D486+H486+K486+N486+D495+H495+K495+N495</f>
        <v/>
      </c>
      <c r="O497" s="220" t="n"/>
    </row>
    <row r="498" ht="27" customFormat="1" customHeight="1" s="46" thickBot="1">
      <c r="B498" s="255" t="inlineStr">
        <is>
          <t>KÜMÜLATİF TOPLAM</t>
        </is>
      </c>
      <c r="C498" s="222" t="n"/>
      <c r="D498" s="222" t="n"/>
      <c r="E498" s="222" t="n"/>
      <c r="F498" s="222" t="n"/>
      <c r="G498" s="222" t="n"/>
      <c r="H498" s="222" t="n"/>
      <c r="I498" s="222" t="n"/>
      <c r="J498" s="222" t="n"/>
      <c r="K498" s="222" t="n"/>
      <c r="L498" s="222" t="n"/>
      <c r="M498" s="223" t="n"/>
      <c r="N498" s="256">
        <f>E477+I477+L477+O477+E486+I486+L486+O486+E495+I495+L495+O495</f>
        <v/>
      </c>
      <c r="O498" s="226" t="n"/>
    </row>
    <row r="499" ht="87" customHeight="1" thickBot="1">
      <c r="B499" s="213" t="n"/>
      <c r="C499" s="214" t="n"/>
      <c r="D499" s="214" t="n"/>
      <c r="E499" s="215" t="n"/>
      <c r="F499" s="97" t="inlineStr">
        <is>
          <t>GÜNLÜK FAALİYET RAPORU
0XXXX-XXX-SGM-XXX-XXX-DPR-IPY-100001</t>
        </is>
      </c>
      <c r="G499" s="214" t="n"/>
      <c r="H499" s="214" t="n"/>
      <c r="I499" s="214" t="n"/>
      <c r="J499" s="214" t="n"/>
      <c r="K499" s="215" t="n"/>
      <c r="L499" s="99" t="inlineStr">
        <is>
          <t>LOGO</t>
        </is>
      </c>
      <c r="M499" s="214" t="n"/>
      <c r="N499" s="214" t="n"/>
      <c r="O499" s="216" t="n"/>
    </row>
    <row r="500" ht="21" customHeight="1" thickBot="1">
      <c r="B500" s="257" t="inlineStr">
        <is>
          <t>YAPILAN İŞLER</t>
        </is>
      </c>
      <c r="C500" s="258" t="n"/>
      <c r="D500" s="258" t="n"/>
      <c r="E500" s="258" t="n"/>
      <c r="F500" s="258" t="n"/>
      <c r="G500" s="258" t="n"/>
      <c r="H500" s="258" t="n"/>
      <c r="I500" s="258" t="n"/>
      <c r="J500" s="258" t="n"/>
      <c r="K500" s="258" t="n"/>
      <c r="L500" s="258" t="n"/>
      <c r="M500" s="258" t="n"/>
      <c r="N500" s="258" t="n"/>
      <c r="O500" s="259" t="n"/>
    </row>
    <row r="501" ht="40.2" customFormat="1" customHeight="1" s="45">
      <c r="B501" s="47" t="inlineStr">
        <is>
          <t>NO</t>
        </is>
      </c>
      <c r="C501" s="260" t="inlineStr">
        <is>
          <t>AÇIKLAMA</t>
        </is>
      </c>
      <c r="D501" s="214" t="n"/>
      <c r="E501" s="214" t="n"/>
      <c r="F501" s="214" t="n"/>
      <c r="G501" s="214" t="n"/>
      <c r="H501" s="214" t="n"/>
      <c r="I501" s="215" t="n"/>
      <c r="J501" s="48" t="inlineStr">
        <is>
          <t>İLGİLİ FİRMA/ÇALIŞAN SAYISI</t>
        </is>
      </c>
      <c r="K501" s="261" t="inlineStr">
        <is>
          <t>İLAVE NOTLAR</t>
        </is>
      </c>
      <c r="L501" s="214" t="n"/>
      <c r="M501" s="214" t="n"/>
      <c r="N501" s="214" t="n"/>
      <c r="O501" s="216" t="n"/>
    </row>
    <row r="502" hidden="1" ht="19.95" customFormat="1" customHeight="1" s="45">
      <c r="B502" s="49" t="n"/>
      <c r="C502" s="262" t="inlineStr">
        <is>
          <t>Ruhsat Alım İşleri</t>
        </is>
      </c>
      <c r="D502" s="218" t="n"/>
      <c r="E502" s="218" t="n"/>
      <c r="F502" s="218" t="n"/>
      <c r="G502" s="218" t="n"/>
      <c r="H502" s="218" t="n"/>
      <c r="I502" s="219" t="n"/>
      <c r="J502" s="50" t="n"/>
      <c r="K502" s="263" t="n"/>
      <c r="L502" s="218" t="n"/>
      <c r="M502" s="218" t="n"/>
      <c r="N502" s="218" t="n"/>
      <c r="O502" s="220" t="n"/>
    </row>
    <row r="503" hidden="1" ht="49.95" customFormat="1" customHeight="1" s="45">
      <c r="B503" s="51" t="n">
        <v>1</v>
      </c>
      <c r="C503" s="264" t="inlineStr">
        <is>
          <t>Yapım ruhsatı yazılmış olup, yapı denetim ve Akyurt Belediyesinde tüm imzalar tamamlanmıştır. SGK Müdürlüğüne gidilerek İşyeri açılışı için başvuru yapılmış ve İşyeri açılışı yapılmıştır.</t>
        </is>
      </c>
      <c r="D503" s="218" t="n"/>
      <c r="E503" s="218" t="n"/>
      <c r="F503" s="218" t="n"/>
      <c r="G503" s="218" t="n"/>
      <c r="H503" s="218" t="n"/>
      <c r="I503" s="219" t="n"/>
      <c r="J503" s="52" t="n"/>
      <c r="K503" s="265" t="inlineStr">
        <is>
          <t>SGK İşyeri Sicil Numarası : 4.4120.0101.1457705.006.27.57.000.040</t>
        </is>
      </c>
      <c r="L503" s="218" t="n"/>
      <c r="M503" s="218" t="n"/>
      <c r="N503" s="218" t="n"/>
      <c r="O503" s="220" t="n"/>
    </row>
    <row r="504" hidden="1" ht="19.95" customFormat="1" customHeight="1" s="45">
      <c r="B504" s="49" t="n"/>
      <c r="C504" s="262" t="inlineStr">
        <is>
          <t>Mobilizasyon İşleri</t>
        </is>
      </c>
      <c r="D504" s="218" t="n"/>
      <c r="E504" s="218" t="n"/>
      <c r="F504" s="218" t="n"/>
      <c r="G504" s="218" t="n"/>
      <c r="H504" s="218" t="n"/>
      <c r="I504" s="219" t="n"/>
      <c r="J504" s="50" t="n"/>
      <c r="K504" s="263" t="n"/>
      <c r="L504" s="218" t="n"/>
      <c r="M504" s="218" t="n"/>
      <c r="N504" s="218" t="n"/>
      <c r="O504" s="220" t="n"/>
    </row>
    <row r="505" hidden="1" ht="30" customFormat="1" customHeight="1" s="45">
      <c r="B505" s="51" t="n">
        <v>1</v>
      </c>
      <c r="C505" s="264" t="inlineStr">
        <is>
          <t>Mobilizasyon çalışmaları devam etmektedir.</t>
        </is>
      </c>
      <c r="D505" s="218" t="n"/>
      <c r="E505" s="218" t="n"/>
      <c r="F505" s="218" t="n"/>
      <c r="G505" s="218" t="n"/>
      <c r="H505" s="218" t="n"/>
      <c r="I505" s="219" t="n"/>
      <c r="J505" s="52" t="n"/>
      <c r="K505" s="265" t="inlineStr">
        <is>
          <t>İSG önlemleri kapsamında çalışmalar yapıldı.</t>
        </is>
      </c>
      <c r="L505" s="218" t="n"/>
      <c r="M505" s="218" t="n"/>
      <c r="N505" s="218" t="n"/>
      <c r="O505" s="220" t="n"/>
    </row>
    <row r="506" ht="19.95" customFormat="1" customHeight="1" s="45">
      <c r="B506" s="49" t="n"/>
      <c r="C506" s="262" t="inlineStr">
        <is>
          <t>Kazı İşleri</t>
        </is>
      </c>
      <c r="D506" s="218" t="n"/>
      <c r="E506" s="218" t="n"/>
      <c r="F506" s="218" t="n"/>
      <c r="G506" s="218" t="n"/>
      <c r="H506" s="218" t="n"/>
      <c r="I506" s="219" t="n"/>
      <c r="J506" s="50" t="n"/>
      <c r="K506" s="263" t="n"/>
      <c r="L506" s="218" t="n"/>
      <c r="M506" s="218" t="n"/>
      <c r="N506" s="218" t="n"/>
      <c r="O506" s="220" t="n"/>
    </row>
    <row r="507" ht="34.5" customFormat="1" customHeight="1" s="45">
      <c r="B507" s="51" t="n">
        <v>1</v>
      </c>
      <c r="C507" s="266" t="n"/>
      <c r="D507" s="218" t="n"/>
      <c r="E507" s="218" t="n"/>
      <c r="F507" s="218" t="n"/>
      <c r="G507" s="218" t="n"/>
      <c r="H507" s="218" t="n"/>
      <c r="I507" s="219" t="n"/>
      <c r="J507" s="52" t="n"/>
      <c r="K507" s="267" t="n"/>
      <c r="L507" s="218" t="n"/>
      <c r="M507" s="218" t="n"/>
      <c r="N507" s="218" t="n"/>
      <c r="O507" s="220" t="n"/>
    </row>
    <row r="508" ht="34.5" customFormat="1" customHeight="1" s="45">
      <c r="B508" s="51" t="n">
        <v>2</v>
      </c>
      <c r="C508" s="266" t="n"/>
      <c r="D508" s="218" t="n"/>
      <c r="E508" s="218" t="n"/>
      <c r="F508" s="218" t="n"/>
      <c r="G508" s="218" t="n"/>
      <c r="H508" s="218" t="n"/>
      <c r="I508" s="219" t="n"/>
      <c r="J508" s="52" t="n"/>
      <c r="K508" s="267" t="n"/>
      <c r="L508" s="218" t="n"/>
      <c r="M508" s="218" t="n"/>
      <c r="N508" s="218" t="n"/>
      <c r="O508" s="220" t="n"/>
    </row>
    <row r="509" ht="35.4" customFormat="1" customHeight="1" s="45">
      <c r="B509" s="51" t="n">
        <v>3</v>
      </c>
      <c r="C509" s="264" t="n"/>
      <c r="D509" s="218" t="n"/>
      <c r="E509" s="218" t="n"/>
      <c r="F509" s="218" t="n"/>
      <c r="G509" s="218" t="n"/>
      <c r="H509" s="218" t="n"/>
      <c r="I509" s="219" t="n"/>
      <c r="J509" s="52" t="n"/>
      <c r="K509" s="265" t="n"/>
      <c r="L509" s="218" t="n"/>
      <c r="M509" s="218" t="n"/>
      <c r="N509" s="218" t="n"/>
      <c r="O509" s="220" t="n"/>
    </row>
    <row r="510" ht="19.95" customFormat="1" customHeight="1" s="45">
      <c r="B510" s="49" t="n"/>
      <c r="C510" s="262" t="inlineStr">
        <is>
          <t>Betonarme Kaba Yapı İşleri</t>
        </is>
      </c>
      <c r="D510" s="218" t="n"/>
      <c r="E510" s="218" t="n"/>
      <c r="F510" s="218" t="n"/>
      <c r="G510" s="218" t="n"/>
      <c r="H510" s="218" t="n"/>
      <c r="I510" s="219" t="n"/>
      <c r="J510" s="50" t="n"/>
      <c r="K510" s="263" t="n"/>
      <c r="L510" s="218" t="n"/>
      <c r="M510" s="218" t="n"/>
      <c r="N510" s="218" t="n"/>
      <c r="O510" s="220" t="n"/>
    </row>
    <row r="511" ht="34.5" customFormat="1" customHeight="1" s="45">
      <c r="B511" s="51" t="n">
        <v>1</v>
      </c>
      <c r="C511" s="266" t="n"/>
      <c r="D511" s="218" t="n"/>
      <c r="E511" s="218" t="n"/>
      <c r="F511" s="218" t="n"/>
      <c r="G511" s="218" t="n"/>
      <c r="H511" s="218" t="n"/>
      <c r="I511" s="219" t="n"/>
      <c r="J511" s="52" t="n"/>
      <c r="K511" s="65" t="n"/>
      <c r="L511" s="66" t="n"/>
      <c r="M511" s="66" t="n"/>
      <c r="N511" s="66" t="n"/>
      <c r="O511" s="67" t="n"/>
    </row>
    <row r="512" ht="34.5" customFormat="1" customHeight="1" s="45">
      <c r="B512" s="51" t="n">
        <v>2</v>
      </c>
      <c r="C512" s="266" t="n"/>
      <c r="D512" s="218" t="n"/>
      <c r="E512" s="218" t="n"/>
      <c r="F512" s="218" t="n"/>
      <c r="G512" s="218" t="n"/>
      <c r="H512" s="218" t="n"/>
      <c r="I512" s="219" t="n"/>
      <c r="J512" s="52" t="n"/>
      <c r="K512" s="267" t="n"/>
      <c r="L512" s="218" t="n"/>
      <c r="M512" s="218" t="n"/>
      <c r="N512" s="218" t="n"/>
      <c r="O512" s="220" t="n"/>
    </row>
    <row r="513" ht="34.5" customFormat="1" customHeight="1" s="45">
      <c r="B513" s="51" t="n">
        <v>3</v>
      </c>
      <c r="C513" s="264" t="n"/>
      <c r="D513" s="218" t="n"/>
      <c r="E513" s="218" t="n"/>
      <c r="F513" s="218" t="n"/>
      <c r="G513" s="218" t="n"/>
      <c r="H513" s="218" t="n"/>
      <c r="I513" s="219" t="n"/>
      <c r="J513" s="52" t="n"/>
      <c r="K513" s="268" t="n"/>
      <c r="L513" s="218" t="n"/>
      <c r="M513" s="218" t="n"/>
      <c r="N513" s="218" t="n"/>
      <c r="O513" s="220" t="n"/>
    </row>
    <row r="514" ht="19.95" customFormat="1" customHeight="1" s="45">
      <c r="B514" s="49" t="n"/>
      <c r="C514" s="262" t="inlineStr">
        <is>
          <t>İnce Yapı İşleri</t>
        </is>
      </c>
      <c r="D514" s="218" t="n"/>
      <c r="E514" s="218" t="n"/>
      <c r="F514" s="218" t="n"/>
      <c r="G514" s="218" t="n"/>
      <c r="H514" s="218" t="n"/>
      <c r="I514" s="219" t="n"/>
      <c r="J514" s="50" t="n"/>
      <c r="K514" s="263" t="n"/>
      <c r="L514" s="218" t="n"/>
      <c r="M514" s="218" t="n"/>
      <c r="N514" s="218" t="n"/>
      <c r="O514" s="220" t="n"/>
    </row>
    <row r="515" ht="35.4" customFormat="1" customHeight="1" s="45">
      <c r="B515" s="51" t="n">
        <v>1</v>
      </c>
      <c r="C515" s="264" t="n"/>
      <c r="D515" s="218" t="n"/>
      <c r="E515" s="218" t="n"/>
      <c r="F515" s="218" t="n"/>
      <c r="G515" s="218" t="n"/>
      <c r="H515" s="218" t="n"/>
      <c r="I515" s="219" t="n"/>
      <c r="J515" s="52" t="n"/>
      <c r="K515" s="268" t="n"/>
      <c r="L515" s="218" t="n"/>
      <c r="M515" s="218" t="n"/>
      <c r="N515" s="218" t="n"/>
      <c r="O515" s="220" t="n"/>
    </row>
    <row r="516" ht="35.4" customFormat="1" customHeight="1" s="45">
      <c r="B516" s="51" t="n">
        <v>2</v>
      </c>
      <c r="C516" s="264" t="n"/>
      <c r="D516" s="218" t="n"/>
      <c r="E516" s="218" t="n"/>
      <c r="F516" s="218" t="n"/>
      <c r="G516" s="218" t="n"/>
      <c r="H516" s="218" t="n"/>
      <c r="I516" s="219" t="n"/>
      <c r="J516" s="52" t="n"/>
      <c r="K516" s="268" t="n"/>
      <c r="L516" s="218" t="n"/>
      <c r="M516" s="218" t="n"/>
      <c r="N516" s="218" t="n"/>
      <c r="O516" s="220" t="n"/>
    </row>
    <row r="517" ht="35.4" customFormat="1" customHeight="1" s="45">
      <c r="B517" s="51" t="n">
        <v>3</v>
      </c>
      <c r="C517" s="264" t="n"/>
      <c r="D517" s="218" t="n"/>
      <c r="E517" s="218" t="n"/>
      <c r="F517" s="218" t="n"/>
      <c r="G517" s="218" t="n"/>
      <c r="H517" s="218" t="n"/>
      <c r="I517" s="219" t="n"/>
      <c r="J517" s="52" t="n"/>
      <c r="K517" s="268" t="n"/>
      <c r="L517" s="218" t="n"/>
      <c r="M517" s="218" t="n"/>
      <c r="N517" s="218" t="n"/>
      <c r="O517" s="220" t="n"/>
    </row>
    <row r="518" ht="19.95" customFormat="1" customHeight="1" s="45">
      <c r="B518" s="49" t="n"/>
      <c r="C518" s="262" t="inlineStr">
        <is>
          <t>Altyapı İşleri</t>
        </is>
      </c>
      <c r="D518" s="218" t="n"/>
      <c r="E518" s="218" t="n"/>
      <c r="F518" s="218" t="n"/>
      <c r="G518" s="218" t="n"/>
      <c r="H518" s="218" t="n"/>
      <c r="I518" s="219" t="n"/>
      <c r="J518" s="50" t="n"/>
      <c r="K518" s="263" t="n"/>
      <c r="L518" s="218" t="n"/>
      <c r="M518" s="218" t="n"/>
      <c r="N518" s="218" t="n"/>
      <c r="O518" s="220" t="n"/>
    </row>
    <row r="519" ht="35.4" customFormat="1" customHeight="1" s="45">
      <c r="B519" s="51" t="n">
        <v>1</v>
      </c>
      <c r="C519" s="264" t="n"/>
      <c r="D519" s="218" t="n"/>
      <c r="E519" s="218" t="n"/>
      <c r="F519" s="218" t="n"/>
      <c r="G519" s="218" t="n"/>
      <c r="H519" s="218" t="n"/>
      <c r="I519" s="219" t="n"/>
      <c r="J519" s="52" t="n"/>
      <c r="K519" s="268" t="n"/>
      <c r="L519" s="218" t="n"/>
      <c r="M519" s="218" t="n"/>
      <c r="N519" s="218" t="n"/>
      <c r="O519" s="220" t="n"/>
    </row>
    <row r="520" ht="35.4" customFormat="1" customHeight="1" s="45">
      <c r="B520" s="51" t="n">
        <v>2</v>
      </c>
      <c r="C520" s="264" t="n"/>
      <c r="D520" s="218" t="n"/>
      <c r="E520" s="218" t="n"/>
      <c r="F520" s="218" t="n"/>
      <c r="G520" s="218" t="n"/>
      <c r="H520" s="218" t="n"/>
      <c r="I520" s="219" t="n"/>
      <c r="J520" s="52" t="n"/>
      <c r="K520" s="268" t="n"/>
      <c r="L520" s="218" t="n"/>
      <c r="M520" s="218" t="n"/>
      <c r="N520" s="218" t="n"/>
      <c r="O520" s="220" t="n"/>
    </row>
    <row r="521" ht="35.4" customFormat="1" customHeight="1" s="45">
      <c r="B521" s="51" t="n">
        <v>3</v>
      </c>
      <c r="C521" s="264" t="n"/>
      <c r="D521" s="218" t="n"/>
      <c r="E521" s="218" t="n"/>
      <c r="F521" s="218" t="n"/>
      <c r="G521" s="218" t="n"/>
      <c r="H521" s="218" t="n"/>
      <c r="I521" s="219" t="n"/>
      <c r="J521" s="52" t="n"/>
      <c r="K521" s="268" t="n"/>
      <c r="L521" s="218" t="n"/>
      <c r="M521" s="218" t="n"/>
      <c r="N521" s="218" t="n"/>
      <c r="O521" s="220" t="n"/>
    </row>
    <row r="522" ht="19.95" customFormat="1" customHeight="1" s="45">
      <c r="B522" s="49" t="n"/>
      <c r="C522" s="262" t="inlineStr">
        <is>
          <t>Mekanik İşleri</t>
        </is>
      </c>
      <c r="D522" s="218" t="n"/>
      <c r="E522" s="218" t="n"/>
      <c r="F522" s="218" t="n"/>
      <c r="G522" s="218" t="n"/>
      <c r="H522" s="218" t="n"/>
      <c r="I522" s="219" t="n"/>
      <c r="J522" s="50" t="n"/>
      <c r="K522" s="263" t="n"/>
      <c r="L522" s="218" t="n"/>
      <c r="M522" s="218" t="n"/>
      <c r="N522" s="218" t="n"/>
      <c r="O522" s="220" t="n"/>
    </row>
    <row r="523" ht="35.4" customFormat="1" customHeight="1" s="45">
      <c r="B523" s="51" t="n">
        <v>1</v>
      </c>
      <c r="C523" s="264" t="n"/>
      <c r="D523" s="218" t="n"/>
      <c r="E523" s="218" t="n"/>
      <c r="F523" s="218" t="n"/>
      <c r="G523" s="218" t="n"/>
      <c r="H523" s="218" t="n"/>
      <c r="I523" s="219" t="n"/>
      <c r="J523" s="52" t="n"/>
      <c r="K523" s="268" t="n"/>
      <c r="L523" s="218" t="n"/>
      <c r="M523" s="218" t="n"/>
      <c r="N523" s="218" t="n"/>
      <c r="O523" s="220" t="n"/>
    </row>
    <row r="524" ht="35.4" customFormat="1" customHeight="1" s="45">
      <c r="B524" s="51" t="n">
        <v>2</v>
      </c>
      <c r="C524" s="264" t="n"/>
      <c r="D524" s="218" t="n"/>
      <c r="E524" s="218" t="n"/>
      <c r="F524" s="218" t="n"/>
      <c r="G524" s="218" t="n"/>
      <c r="H524" s="218" t="n"/>
      <c r="I524" s="219" t="n"/>
      <c r="J524" s="52" t="n"/>
      <c r="K524" s="268" t="n"/>
      <c r="L524" s="218" t="n"/>
      <c r="M524" s="218" t="n"/>
      <c r="N524" s="218" t="n"/>
      <c r="O524" s="220" t="n"/>
    </row>
    <row r="525" ht="35.4" customFormat="1" customHeight="1" s="45">
      <c r="B525" s="51" t="n">
        <v>3</v>
      </c>
      <c r="C525" s="264" t="n"/>
      <c r="D525" s="218" t="n"/>
      <c r="E525" s="218" t="n"/>
      <c r="F525" s="218" t="n"/>
      <c r="G525" s="218" t="n"/>
      <c r="H525" s="218" t="n"/>
      <c r="I525" s="219" t="n"/>
      <c r="J525" s="52" t="n"/>
      <c r="K525" s="268" t="n"/>
      <c r="L525" s="218" t="n"/>
      <c r="M525" s="218" t="n"/>
      <c r="N525" s="218" t="n"/>
      <c r="O525" s="220" t="n"/>
    </row>
    <row r="526" ht="19.95" customFormat="1" customHeight="1" s="45">
      <c r="B526" s="49" t="n"/>
      <c r="C526" s="262" t="inlineStr">
        <is>
          <t>Elektrik İşleri</t>
        </is>
      </c>
      <c r="D526" s="218" t="n"/>
      <c r="E526" s="218" t="n"/>
      <c r="F526" s="218" t="n"/>
      <c r="G526" s="218" t="n"/>
      <c r="H526" s="218" t="n"/>
      <c r="I526" s="219" t="n"/>
      <c r="J526" s="50" t="n"/>
      <c r="K526" s="263" t="n"/>
      <c r="L526" s="218" t="n"/>
      <c r="M526" s="218" t="n"/>
      <c r="N526" s="218" t="n"/>
      <c r="O526" s="220" t="n"/>
    </row>
    <row r="527" ht="35.4" customFormat="1" customHeight="1" s="45">
      <c r="B527" s="51" t="n">
        <v>1</v>
      </c>
      <c r="C527" s="264" t="n"/>
      <c r="D527" s="218" t="n"/>
      <c r="E527" s="218" t="n"/>
      <c r="F527" s="218" t="n"/>
      <c r="G527" s="218" t="n"/>
      <c r="H527" s="218" t="n"/>
      <c r="I527" s="219" t="n"/>
      <c r="J527" s="52" t="n"/>
      <c r="K527" s="268" t="n"/>
      <c r="L527" s="218" t="n"/>
      <c r="M527" s="218" t="n"/>
      <c r="N527" s="218" t="n"/>
      <c r="O527" s="220" t="n"/>
    </row>
    <row r="528" ht="35.4" customFormat="1" customHeight="1" s="45">
      <c r="B528" s="51" t="n">
        <v>2</v>
      </c>
      <c r="C528" s="264" t="n"/>
      <c r="D528" s="218" t="n"/>
      <c r="E528" s="218" t="n"/>
      <c r="F528" s="218" t="n"/>
      <c r="G528" s="218" t="n"/>
      <c r="H528" s="218" t="n"/>
      <c r="I528" s="219" t="n"/>
      <c r="J528" s="52" t="n"/>
      <c r="K528" s="268" t="n"/>
      <c r="L528" s="218" t="n"/>
      <c r="M528" s="218" t="n"/>
      <c r="N528" s="218" t="n"/>
      <c r="O528" s="220" t="n"/>
    </row>
    <row r="529" ht="19.95" customFormat="1" customHeight="1" s="45">
      <c r="B529" s="49" t="n"/>
      <c r="C529" s="262" t="inlineStr">
        <is>
          <t>İSG</t>
        </is>
      </c>
      <c r="D529" s="218" t="n"/>
      <c r="E529" s="218" t="n"/>
      <c r="F529" s="218" t="n"/>
      <c r="G529" s="218" t="n"/>
      <c r="H529" s="218" t="n"/>
      <c r="I529" s="219" t="n"/>
      <c r="J529" s="50" t="n"/>
      <c r="K529" s="263" t="n"/>
      <c r="L529" s="218" t="n"/>
      <c r="M529" s="218" t="n"/>
      <c r="N529" s="218" t="n"/>
      <c r="O529" s="220" t="n"/>
    </row>
    <row r="530" ht="35.4" customFormat="1" customHeight="1" s="45">
      <c r="B530" s="51" t="n">
        <v>1</v>
      </c>
      <c r="C530" s="264" t="n"/>
      <c r="D530" s="218" t="n"/>
      <c r="E530" s="218" t="n"/>
      <c r="F530" s="218" t="n"/>
      <c r="G530" s="218" t="n"/>
      <c r="H530" s="218" t="n"/>
      <c r="I530" s="219" t="n"/>
      <c r="J530" s="52" t="n"/>
      <c r="K530" s="268" t="n"/>
      <c r="L530" s="218" t="n"/>
      <c r="M530" s="218" t="n"/>
      <c r="N530" s="218" t="n"/>
      <c r="O530" s="220" t="n"/>
    </row>
    <row r="531" ht="35.4" customFormat="1" customHeight="1" s="45">
      <c r="B531" s="51" t="n">
        <v>2</v>
      </c>
      <c r="C531" s="264" t="n"/>
      <c r="D531" s="218" t="n"/>
      <c r="E531" s="218" t="n"/>
      <c r="F531" s="218" t="n"/>
      <c r="G531" s="218" t="n"/>
      <c r="H531" s="218" t="n"/>
      <c r="I531" s="219" t="n"/>
      <c r="J531" s="52" t="n"/>
      <c r="K531" s="268" t="n"/>
      <c r="L531" s="218" t="n"/>
      <c r="M531" s="218" t="n"/>
      <c r="N531" s="218" t="n"/>
      <c r="O531" s="220" t="n"/>
    </row>
    <row r="532" ht="36" customFormat="1" customHeight="1" s="45">
      <c r="B532" s="51" t="n">
        <v>3</v>
      </c>
      <c r="C532" s="264" t="n"/>
      <c r="D532" s="218" t="n"/>
      <c r="E532" s="218" t="n"/>
      <c r="F532" s="218" t="n"/>
      <c r="G532" s="218" t="n"/>
      <c r="H532" s="218" t="n"/>
      <c r="I532" s="219" t="n"/>
      <c r="J532" s="52" t="n"/>
      <c r="K532" s="268" t="n"/>
      <c r="L532" s="218" t="n"/>
      <c r="M532" s="218" t="n"/>
      <c r="N532" s="218" t="n"/>
      <c r="O532" s="220" t="n"/>
    </row>
    <row r="533" ht="19.95" customFormat="1" customHeight="1" s="45">
      <c r="B533" s="49" t="n"/>
      <c r="C533" s="262" t="inlineStr">
        <is>
          <t>Teknik Ofis İşleri</t>
        </is>
      </c>
      <c r="D533" s="218" t="n"/>
      <c r="E533" s="218" t="n"/>
      <c r="F533" s="218" t="n"/>
      <c r="G533" s="218" t="n"/>
      <c r="H533" s="218" t="n"/>
      <c r="I533" s="219" t="n"/>
      <c r="J533" s="50" t="n"/>
      <c r="K533" s="263" t="n"/>
      <c r="L533" s="218" t="n"/>
      <c r="M533" s="218" t="n"/>
      <c r="N533" s="218" t="n"/>
      <c r="O533" s="220" t="n"/>
    </row>
    <row r="534" ht="35.25" customFormat="1" customHeight="1" s="45">
      <c r="B534" s="51" t="n">
        <v>1</v>
      </c>
      <c r="C534" s="264" t="n"/>
      <c r="D534" s="218" t="n"/>
      <c r="E534" s="218" t="n"/>
      <c r="F534" s="218" t="n"/>
      <c r="G534" s="218" t="n"/>
      <c r="H534" s="218" t="n"/>
      <c r="I534" s="219" t="n"/>
      <c r="J534" s="52" t="n"/>
      <c r="K534" s="268" t="n"/>
      <c r="L534" s="218" t="n"/>
      <c r="M534" s="218" t="n"/>
      <c r="N534" s="218" t="n"/>
      <c r="O534" s="220" t="n"/>
    </row>
    <row r="535" ht="35.25" customFormat="1" customHeight="1" s="45">
      <c r="B535" s="51" t="n">
        <v>2</v>
      </c>
      <c r="C535" s="264" t="n"/>
      <c r="D535" s="218" t="n"/>
      <c r="E535" s="218" t="n"/>
      <c r="F535" s="218" t="n"/>
      <c r="G535" s="218" t="n"/>
      <c r="H535" s="218" t="n"/>
      <c r="I535" s="219" t="n"/>
      <c r="J535" s="52" t="n"/>
      <c r="K535" s="267" t="n"/>
      <c r="L535" s="218" t="n"/>
      <c r="M535" s="218" t="n"/>
      <c r="N535" s="218" t="n"/>
      <c r="O535" s="220" t="n"/>
    </row>
    <row r="536" ht="35.25" customFormat="1" customHeight="1" s="45" thickBot="1">
      <c r="B536" s="51" t="n">
        <v>3</v>
      </c>
      <c r="C536" s="269" t="n"/>
      <c r="D536" s="218" t="n"/>
      <c r="E536" s="218" t="n"/>
      <c r="F536" s="218" t="n"/>
      <c r="G536" s="218" t="n"/>
      <c r="H536" s="218" t="n"/>
      <c r="I536" s="219" t="n"/>
      <c r="J536" s="52" t="n"/>
      <c r="K536" s="267" t="n"/>
      <c r="L536" s="218" t="n"/>
      <c r="M536" s="218" t="n"/>
      <c r="N536" s="218" t="n"/>
      <c r="O536" s="220" t="n"/>
    </row>
    <row r="537" ht="18.75" customHeight="1">
      <c r="B537" s="270" t="inlineStr">
        <is>
          <t>İMZA</t>
        </is>
      </c>
      <c r="C537" s="74" t="inlineStr">
        <is>
          <t>SİGMA MÜHENDİSLİK HİZMETLERİ DEKORASYON İNŞAAT LTD. ŞTİ.</t>
        </is>
      </c>
      <c r="D537" s="214" t="n"/>
      <c r="E537" s="214" t="n"/>
      <c r="F537" s="214" t="n"/>
      <c r="G537" s="214" t="n"/>
      <c r="H537" s="214" t="n"/>
      <c r="I537" s="215" t="n"/>
      <c r="J537" s="76" t="inlineStr">
        <is>
          <t>ANA YÜKLENİCİ</t>
        </is>
      </c>
      <c r="K537" s="214" t="n"/>
      <c r="L537" s="214" t="n"/>
      <c r="M537" s="214" t="n"/>
      <c r="N537" s="214" t="n"/>
      <c r="O537" s="216" t="n"/>
    </row>
    <row r="538" ht="18.75" customHeight="1">
      <c r="B538" s="271" t="n"/>
      <c r="C538" s="272" t="n"/>
      <c r="D538" s="218" t="n"/>
      <c r="E538" s="218" t="n"/>
      <c r="F538" s="218" t="n"/>
      <c r="G538" s="218" t="n"/>
      <c r="H538" s="218" t="n"/>
      <c r="I538" s="219" t="n"/>
      <c r="J538" s="56" t="n"/>
      <c r="K538" s="56" t="n"/>
      <c r="L538" s="56" t="n"/>
      <c r="M538" s="56" t="n"/>
      <c r="N538" s="56" t="n"/>
      <c r="O538" s="57" t="n"/>
    </row>
    <row r="539" ht="14.25" customHeight="1">
      <c r="B539" s="271" t="n"/>
      <c r="C539" s="80" t="n"/>
      <c r="D539" s="273" t="n"/>
      <c r="E539" s="273" t="n"/>
      <c r="F539" s="273" t="n"/>
      <c r="G539" s="273" t="n"/>
      <c r="H539" s="273" t="n"/>
      <c r="I539" s="274" t="n"/>
      <c r="J539" s="80" t="n"/>
      <c r="K539" s="273" t="n"/>
      <c r="L539" s="273" t="n"/>
      <c r="M539" s="273" t="n"/>
      <c r="N539" s="273" t="n"/>
      <c r="O539" s="274" t="n"/>
    </row>
    <row r="540" ht="14.25" customHeight="1">
      <c r="B540" s="271" t="n"/>
      <c r="C540" s="275" t="n"/>
      <c r="I540" s="276" t="n"/>
      <c r="J540" s="275" t="n"/>
      <c r="O540" s="276" t="n"/>
    </row>
    <row r="541" ht="14.25" customHeight="1" thickBot="1">
      <c r="B541" s="277" t="n"/>
      <c r="C541" s="278" t="n"/>
      <c r="D541" s="250" t="n"/>
      <c r="E541" s="250" t="n"/>
      <c r="F541" s="250" t="n"/>
      <c r="G541" s="250" t="n"/>
      <c r="H541" s="250" t="n"/>
      <c r="I541" s="240" t="n"/>
      <c r="J541" s="278" t="n"/>
      <c r="K541" s="250" t="n"/>
      <c r="L541" s="250" t="n"/>
      <c r="M541" s="250" t="n"/>
      <c r="N541" s="250" t="n"/>
      <c r="O541" s="240" t="n"/>
    </row>
    <row r="559" ht="10.8" customHeight="1" thickBot="1"/>
    <row r="560" ht="87" customHeight="1">
      <c r="B560" s="213" t="n"/>
      <c r="C560" s="214" t="n"/>
      <c r="D560" s="214" t="n"/>
      <c r="E560" s="215" t="n"/>
      <c r="F560" s="97" t="inlineStr">
        <is>
          <t>GÜNLÜK FAALİYET RAPORU
02780-BGC-SGM-XXX-XXX-DPR-IPY-100001</t>
        </is>
      </c>
      <c r="G560" s="214" t="n"/>
      <c r="H560" s="214" t="n"/>
      <c r="I560" s="214" t="n"/>
      <c r="J560" s="214" t="n"/>
      <c r="K560" s="215" t="n"/>
      <c r="L560" s="99" t="inlineStr">
        <is>
          <t>LOGO</t>
        </is>
      </c>
      <c r="M560" s="214" t="n"/>
      <c r="N560" s="214" t="n"/>
      <c r="O560" s="216" t="n"/>
      <c r="U560" s="2" t="n"/>
    </row>
    <row r="561" ht="37.5" customHeight="1">
      <c r="B561" s="217" t="inlineStr">
        <is>
          <t>İŞVEREN</t>
        </is>
      </c>
      <c r="C561" s="218" t="n"/>
      <c r="D561" s="218" t="n"/>
      <c r="E561" s="219" t="n"/>
      <c r="F561" s="198" t="inlineStr">
        <is>
          <t>ANA YÜKLENİCİ</t>
        </is>
      </c>
      <c r="G561" s="219" t="n"/>
      <c r="H561" s="199" t="n"/>
      <c r="I561" s="219" t="n"/>
      <c r="J561" s="200" t="inlineStr">
        <is>
          <t>TARİH</t>
        </is>
      </c>
      <c r="K561" s="218" t="n"/>
      <c r="L561" s="219" t="n"/>
      <c r="M561" s="203" t="inlineStr">
        <is>
          <t>XX.0X.2026</t>
        </is>
      </c>
      <c r="N561" s="218" t="n"/>
      <c r="O561" s="220" t="n"/>
    </row>
    <row r="562" ht="30.75" customHeight="1">
      <c r="B562" s="204" t="inlineStr">
        <is>
          <t>Halk Gayrimenkul Yatırım Ortaklığı A.Ş.</t>
        </is>
      </c>
      <c r="C562" s="218" t="n"/>
      <c r="D562" s="218" t="n"/>
      <c r="E562" s="219" t="n"/>
      <c r="F562" s="205" t="inlineStr">
        <is>
          <t>-</t>
        </is>
      </c>
      <c r="G562" s="219" t="n"/>
      <c r="H562" s="207" t="n"/>
      <c r="I562" s="219" t="n"/>
      <c r="J562" s="201" t="inlineStr">
        <is>
          <t>HAVA DURUMU</t>
        </is>
      </c>
      <c r="K562" s="218" t="n"/>
      <c r="L562" s="219" t="n"/>
      <c r="M562" s="221" t="inlineStr">
        <is>
          <t>Açık / 25°C</t>
        </is>
      </c>
      <c r="N562" s="218" t="n"/>
      <c r="O562" s="220" t="n"/>
    </row>
    <row r="563" ht="34.5" customHeight="1" thickBot="1">
      <c r="B563" s="170" t="inlineStr">
        <is>
          <t>HALK GYO ASM BAĞCILAR PROJESİ</t>
        </is>
      </c>
      <c r="C563" s="222" t="n"/>
      <c r="D563" s="222" t="n"/>
      <c r="E563" s="222" t="n"/>
      <c r="F563" s="222" t="n"/>
      <c r="G563" s="222" t="n"/>
      <c r="H563" s="222" t="n"/>
      <c r="I563" s="223" t="n"/>
      <c r="J563" s="224" t="inlineStr">
        <is>
          <t>İŞ BİTİM TARİHİ</t>
        </is>
      </c>
      <c r="K563" s="222" t="n"/>
      <c r="L563" s="223" t="n"/>
      <c r="M563" s="225" t="n"/>
      <c r="N563" s="222" t="n"/>
      <c r="O563" s="226" t="n"/>
    </row>
    <row r="564" ht="17.25" customHeight="1">
      <c r="B564" s="227" t="inlineStr">
        <is>
          <t>İŞVEREN / PROJE YÖNETİMİ</t>
        </is>
      </c>
      <c r="C564" s="228" t="n"/>
      <c r="D564" s="228" t="n"/>
      <c r="E564" s="229" t="n"/>
      <c r="F564" s="230" t="inlineStr">
        <is>
          <t>Kümülatif</t>
        </is>
      </c>
      <c r="G564" s="231" t="inlineStr">
        <is>
          <t>YÜKLENİCİ FİRMA
Teknik Kadro Dahil</t>
        </is>
      </c>
      <c r="H564" s="228" t="n"/>
      <c r="I564" s="228" t="n"/>
      <c r="J564" s="232" t="inlineStr">
        <is>
          <t>Kümülatif</t>
        </is>
      </c>
      <c r="K564" s="187" t="inlineStr">
        <is>
          <t>İŞ MAKİNALARI</t>
        </is>
      </c>
      <c r="L564" s="229" t="n"/>
      <c r="M564" s="191" t="inlineStr">
        <is>
          <t>Giriş Tarihi</t>
        </is>
      </c>
      <c r="N564" s="191" t="inlineStr">
        <is>
          <t>Çıkış Tarihi</t>
        </is>
      </c>
      <c r="O564" s="233" t="inlineStr">
        <is>
          <t>Puantaj (Saat)</t>
        </is>
      </c>
    </row>
    <row r="565" ht="17.25" customHeight="1" thickBot="1">
      <c r="B565" s="234" t="n"/>
      <c r="C565" s="235" t="n"/>
      <c r="D565" s="235" t="n"/>
      <c r="E565" s="236" t="n"/>
      <c r="F565" s="237" t="n"/>
      <c r="G565" s="234" t="n"/>
      <c r="H565" s="235" t="n"/>
      <c r="I565" s="235" t="n"/>
      <c r="J565" s="238" t="n"/>
      <c r="K565" s="239" t="n"/>
      <c r="L565" s="240" t="n"/>
      <c r="M565" s="241" t="n"/>
      <c r="N565" s="241" t="n"/>
      <c r="O565" s="237" t="n"/>
    </row>
    <row r="566" ht="22.5" customHeight="1">
      <c r="B566" s="242" t="inlineStr">
        <is>
          <t>Proje Müdürü Saha-PY</t>
        </is>
      </c>
      <c r="C566" s="240" t="n"/>
      <c r="D566" s="3" t="n">
        <v>0</v>
      </c>
      <c r="E566" s="4" t="n"/>
      <c r="F566" s="5">
        <f>D566</f>
        <v/>
      </c>
      <c r="G566" s="6" t="inlineStr">
        <is>
          <t>Şantiye Şefi-Mukas</t>
        </is>
      </c>
      <c r="H566" s="7" t="n">
        <v>0</v>
      </c>
      <c r="I566" s="8" t="n"/>
      <c r="J566" s="5">
        <f>H566</f>
        <v/>
      </c>
      <c r="K566" s="162" t="inlineStr">
        <is>
          <t>JCB</t>
        </is>
      </c>
      <c r="L566" s="219" t="n"/>
      <c r="M566" s="9" t="n"/>
      <c r="N566" s="9" t="n"/>
      <c r="O566" s="10" t="n">
        <v>0</v>
      </c>
    </row>
    <row r="567" ht="26.25" customHeight="1">
      <c r="B567" s="242" t="inlineStr">
        <is>
          <t>Proje Müdürü Merkez-PY</t>
        </is>
      </c>
      <c r="C567" s="240" t="n"/>
      <c r="D567" s="3" t="n">
        <v>0</v>
      </c>
      <c r="E567" s="11" t="n"/>
      <c r="F567" s="5">
        <f>D567</f>
        <v/>
      </c>
      <c r="G567" s="6" t="inlineStr">
        <is>
          <t>İnşaat Mühendisi</t>
        </is>
      </c>
      <c r="H567" s="7" t="n">
        <v>0</v>
      </c>
      <c r="I567" s="12" t="n"/>
      <c r="J567" s="5">
        <f>H567</f>
        <v/>
      </c>
      <c r="K567" s="162" t="inlineStr">
        <is>
          <t>Fore Kazık Makinası</t>
        </is>
      </c>
      <c r="L567" s="219" t="n"/>
      <c r="M567" s="9" t="n"/>
      <c r="N567" s="9" t="n"/>
      <c r="O567" s="10" t="n">
        <v>0</v>
      </c>
    </row>
    <row r="568" ht="24.75" customHeight="1">
      <c r="B568" s="6" t="inlineStr">
        <is>
          <t>Proje Koordinatörü-PY</t>
        </is>
      </c>
      <c r="C568" s="219" t="n"/>
      <c r="D568" s="3" t="n">
        <v>0</v>
      </c>
      <c r="E568" s="11" t="n"/>
      <c r="F568" s="5">
        <f>D568</f>
        <v/>
      </c>
      <c r="G568" s="6" t="inlineStr">
        <is>
          <t>Elektrik Mühendisi</t>
        </is>
      </c>
      <c r="H568" s="7" t="n">
        <v>0</v>
      </c>
      <c r="I568" s="12" t="n"/>
      <c r="J568" s="5">
        <f>H568</f>
        <v/>
      </c>
      <c r="K568" s="162" t="inlineStr">
        <is>
          <t>Beton Pompası</t>
        </is>
      </c>
      <c r="L568" s="219" t="n"/>
      <c r="M568" s="9" t="n"/>
      <c r="N568" s="9" t="n"/>
      <c r="O568" s="10" t="n">
        <v>0</v>
      </c>
    </row>
    <row r="569" ht="23.25" customHeight="1">
      <c r="B569" s="162" t="inlineStr">
        <is>
          <t>Proje Müdürü Mimar-PY</t>
        </is>
      </c>
      <c r="C569" s="219" t="n"/>
      <c r="D569" s="3" t="n">
        <v>0</v>
      </c>
      <c r="E569" s="11" t="n"/>
      <c r="F569" s="5">
        <f>D569</f>
        <v/>
      </c>
      <c r="G569" s="6" t="inlineStr">
        <is>
          <t>Makine Mühendisi</t>
        </is>
      </c>
      <c r="H569" s="7" t="n">
        <v>0</v>
      </c>
      <c r="I569" s="12" t="n"/>
      <c r="J569" s="5">
        <f>H569</f>
        <v/>
      </c>
      <c r="K569" s="162" t="inlineStr">
        <is>
          <t>Ekskavatör</t>
        </is>
      </c>
      <c r="L569" s="219" t="n"/>
      <c r="M569" s="9" t="n"/>
      <c r="N569" s="9" t="n"/>
      <c r="O569" s="10" t="n">
        <v>0</v>
      </c>
    </row>
    <row r="570" ht="26.25" customHeight="1">
      <c r="B570" s="162" t="inlineStr">
        <is>
          <t>Proje Elektrik Yüksek Mühendisi-PY</t>
        </is>
      </c>
      <c r="C570" s="219" t="n"/>
      <c r="D570" s="3" t="n">
        <v>0</v>
      </c>
      <c r="E570" s="11" t="n"/>
      <c r="F570" s="5">
        <f>D570</f>
        <v/>
      </c>
      <c r="G570" s="6" t="inlineStr">
        <is>
          <t>Formen</t>
        </is>
      </c>
      <c r="H570" s="7" t="n">
        <v>0</v>
      </c>
      <c r="I570" s="12" t="n"/>
      <c r="J570" s="5">
        <f>H570</f>
        <v/>
      </c>
      <c r="K570" s="162" t="inlineStr">
        <is>
          <t>Kamyon</t>
        </is>
      </c>
      <c r="L570" s="219" t="n"/>
      <c r="M570" s="9" t="n"/>
      <c r="N570" s="9" t="n"/>
      <c r="O570" s="10" t="n">
        <v>0</v>
      </c>
    </row>
    <row r="571" ht="26.25" customHeight="1">
      <c r="B571" s="162" t="inlineStr">
        <is>
          <t>Proje Müdürü Makine Mühendisi-PY</t>
        </is>
      </c>
      <c r="C571" s="219" t="n"/>
      <c r="D571" s="3" t="n">
        <v>0</v>
      </c>
      <c r="E571" s="11" t="n"/>
      <c r="F571" s="5">
        <f>D571</f>
        <v/>
      </c>
      <c r="G571" s="6" t="inlineStr">
        <is>
          <t>İş Güvenliği Uzmanı</t>
        </is>
      </c>
      <c r="H571" s="7" t="n">
        <v>0</v>
      </c>
      <c r="I571" s="12" t="n"/>
      <c r="J571" s="5">
        <f>H571</f>
        <v/>
      </c>
      <c r="K571" s="162" t="inlineStr">
        <is>
          <t>Kırıcılı Ekskavatör</t>
        </is>
      </c>
      <c r="L571" s="219" t="n"/>
      <c r="M571" s="9" t="n"/>
      <c r="N571" s="9" t="n"/>
      <c r="O571" s="10" t="n">
        <v>0</v>
      </c>
    </row>
    <row r="572" ht="26.25" customHeight="1">
      <c r="B572" s="162" t="n"/>
      <c r="C572" s="219" t="n"/>
      <c r="D572" s="3" t="n"/>
      <c r="E572" s="11" t="n"/>
      <c r="F572" s="5" t="n"/>
      <c r="G572" s="6" t="inlineStr">
        <is>
          <t>Saha İşçisi</t>
        </is>
      </c>
      <c r="H572" s="7" t="n">
        <v>0</v>
      </c>
      <c r="I572" s="12" t="n"/>
      <c r="J572" s="5">
        <f>H572</f>
        <v/>
      </c>
      <c r="K572" s="162" t="inlineStr">
        <is>
          <t>Vinç</t>
        </is>
      </c>
      <c r="L572" s="219" t="n"/>
      <c r="M572" s="9" t="n"/>
      <c r="N572" s="9" t="n"/>
      <c r="O572" s="10" t="n">
        <v>0</v>
      </c>
    </row>
    <row r="573" ht="26.25" customHeight="1">
      <c r="B573" s="162" t="n"/>
      <c r="C573" s="219" t="n"/>
      <c r="D573" s="3" t="n"/>
      <c r="E573" s="11" t="n"/>
      <c r="F573" s="5" t="n"/>
      <c r="G573" s="6" t="inlineStr">
        <is>
          <t>Topoğraf</t>
        </is>
      </c>
      <c r="H573" s="7" t="n">
        <v>0</v>
      </c>
      <c r="I573" s="12" t="n"/>
      <c r="J573" s="5">
        <f>H573</f>
        <v/>
      </c>
      <c r="K573" s="162" t="inlineStr">
        <is>
          <t>Silindir</t>
        </is>
      </c>
      <c r="L573" s="219" t="n"/>
      <c r="M573" s="9" t="n"/>
      <c r="N573" s="9" t="n"/>
      <c r="O573" s="10" t="n">
        <v>0</v>
      </c>
    </row>
    <row r="574" ht="26.25" customHeight="1">
      <c r="B574" s="162" t="n"/>
      <c r="C574" s="219" t="n"/>
      <c r="D574" s="3" t="n"/>
      <c r="E574" s="11" t="n"/>
      <c r="F574" s="5" t="n"/>
      <c r="G574" s="6" t="n"/>
      <c r="H574" s="7" t="n"/>
      <c r="I574" s="12" t="n"/>
      <c r="J574" s="13" t="n"/>
      <c r="K574" s="162" t="n"/>
      <c r="L574" s="219" t="n"/>
      <c r="M574" s="9" t="n"/>
      <c r="N574" s="9" t="n"/>
      <c r="O574" s="10" t="n"/>
    </row>
    <row r="575" ht="26.25" customHeight="1">
      <c r="B575" s="243" t="n"/>
      <c r="C575" s="219" t="n"/>
      <c r="D575" s="14" t="n"/>
      <c r="E575" s="11" t="n"/>
      <c r="F575" s="5" t="n"/>
      <c r="G575" s="6" t="n"/>
      <c r="H575" s="15" t="n"/>
      <c r="I575" s="12" t="n"/>
      <c r="J575" s="13" t="n"/>
      <c r="K575" s="244" t="inlineStr">
        <is>
          <t xml:space="preserve"> Toplam</t>
        </is>
      </c>
      <c r="L575" s="218" t="n"/>
      <c r="M575" s="218" t="n"/>
      <c r="N575" s="219" t="n"/>
      <c r="O575" s="16">
        <f>SUM(O566:O574)</f>
        <v/>
      </c>
    </row>
    <row r="576" ht="26.25" customHeight="1">
      <c r="B576" s="243" t="n"/>
      <c r="C576" s="219" t="n"/>
      <c r="D576" s="14" t="n"/>
      <c r="E576" s="11" t="n"/>
      <c r="F576" s="5" t="n"/>
      <c r="G576" s="6" t="n"/>
      <c r="H576" s="15" t="n"/>
      <c r="I576" s="12" t="n"/>
      <c r="J576" s="13" t="n"/>
      <c r="K576" s="245" t="inlineStr">
        <is>
          <t>GÜNLÜK GELEN MALZEME LİSTESİ</t>
        </is>
      </c>
      <c r="L576" s="218" t="n"/>
      <c r="M576" s="218" t="n"/>
      <c r="N576" s="218" t="n"/>
      <c r="O576" s="220" t="n"/>
    </row>
    <row r="577" ht="26.25" customHeight="1">
      <c r="A577" s="1" t="inlineStr">
        <is>
          <t xml:space="preserve"> </t>
        </is>
      </c>
      <c r="B577" s="243" t="n"/>
      <c r="C577" s="219" t="n"/>
      <c r="D577" s="3" t="n"/>
      <c r="E577" s="17" t="n"/>
      <c r="F577" s="5" t="n"/>
      <c r="G577" s="6" t="n"/>
      <c r="H577" s="15" t="n"/>
      <c r="I577" s="18" t="n"/>
      <c r="J577" s="13" t="n"/>
      <c r="K577" s="246" t="n"/>
      <c r="L577" s="218" t="n"/>
      <c r="M577" s="219" t="n"/>
      <c r="N577" s="16" t="n"/>
      <c r="O577" s="220" t="n"/>
    </row>
    <row r="578" ht="26.25" customHeight="1">
      <c r="B578" s="243" t="n"/>
      <c r="C578" s="219" t="n"/>
      <c r="D578" s="3" t="n"/>
      <c r="E578" s="17" t="n"/>
      <c r="F578" s="5" t="n"/>
      <c r="G578" s="6" t="n"/>
      <c r="H578" s="15" t="n"/>
      <c r="I578" s="18" t="n"/>
      <c r="J578" s="13" t="n"/>
      <c r="K578" s="246" t="n"/>
      <c r="L578" s="218" t="n"/>
      <c r="M578" s="219" t="n"/>
      <c r="N578" s="16" t="n"/>
      <c r="O578" s="220" t="n"/>
    </row>
    <row r="579" ht="26.25" customHeight="1">
      <c r="B579" s="21" t="n"/>
      <c r="C579" s="219" t="n"/>
      <c r="D579" s="19" t="n"/>
      <c r="E579" s="20" t="n"/>
      <c r="F579" s="5" t="n"/>
      <c r="G579" s="21" t="n"/>
      <c r="H579" s="22" t="n"/>
      <c r="I579" s="23" t="n"/>
      <c r="J579" s="13" t="n"/>
      <c r="K579" s="246" t="n"/>
      <c r="L579" s="218" t="n"/>
      <c r="M579" s="219" t="n"/>
      <c r="N579" s="247" t="n"/>
      <c r="O579" s="220" t="n"/>
    </row>
    <row r="580" ht="27" customHeight="1">
      <c r="B580" s="27" t="inlineStr">
        <is>
          <t>Toplam</t>
        </is>
      </c>
      <c r="C580" s="219" t="n"/>
      <c r="D580" s="24">
        <f>SUM(D566:D579)</f>
        <v/>
      </c>
      <c r="E580" s="25" t="inlineStr">
        <is>
          <t>G. Toplam</t>
        </is>
      </c>
      <c r="F580" s="58">
        <f>SUM(F566:F579)</f>
        <v/>
      </c>
      <c r="G580" s="27" t="inlineStr">
        <is>
          <t>Toplam</t>
        </is>
      </c>
      <c r="H580" s="28">
        <f>SUM(H566:H579)</f>
        <v/>
      </c>
      <c r="I580" s="29" t="inlineStr">
        <is>
          <t>G. Toplam</t>
        </is>
      </c>
      <c r="J580" s="26">
        <f>SUM(J566:J579)</f>
        <v/>
      </c>
      <c r="K580" s="246" t="n"/>
      <c r="L580" s="218" t="n"/>
      <c r="M580" s="219" t="n"/>
      <c r="N580" s="247" t="n"/>
      <c r="O580" s="220" t="n"/>
    </row>
    <row r="581" ht="27" customHeight="1" thickBot="1">
      <c r="B581" s="143" t="inlineStr">
        <is>
          <t>GENEL TOPLAM</t>
        </is>
      </c>
      <c r="C581" s="222" t="n"/>
      <c r="D581" s="222" t="n"/>
      <c r="E581" s="222" t="n"/>
      <c r="F581" s="222" t="n"/>
      <c r="G581" s="222" t="n"/>
      <c r="H581" s="222" t="n"/>
      <c r="I581" s="222" t="n"/>
      <c r="J581" s="30">
        <f>F580+J580</f>
        <v/>
      </c>
      <c r="K581" s="246" t="n"/>
      <c r="L581" s="218" t="n"/>
      <c r="M581" s="219" t="n"/>
      <c r="N581" s="247" t="n"/>
      <c r="O581" s="220" t="n"/>
    </row>
    <row r="582" ht="12.6" customHeight="1">
      <c r="B582" s="248" t="inlineStr">
        <is>
          <t>ALTYÜKLENİCİ EKİPLERİ PUANTAJI</t>
        </is>
      </c>
      <c r="C582" s="228" t="n"/>
      <c r="D582" s="228" t="n"/>
      <c r="E582" s="228" t="n"/>
      <c r="F582" s="228" t="n"/>
      <c r="G582" s="228" t="n"/>
      <c r="H582" s="228" t="n"/>
      <c r="I582" s="228" t="n"/>
      <c r="J582" s="228" t="n"/>
      <c r="K582" s="228" t="n"/>
      <c r="L582" s="228" t="n"/>
      <c r="M582" s="228" t="n"/>
      <c r="N582" s="228" t="n"/>
      <c r="O582" s="249" t="n"/>
    </row>
    <row r="583" ht="8.4" customHeight="1">
      <c r="B583" s="239" t="n"/>
      <c r="C583" s="250" t="n"/>
      <c r="D583" s="250" t="n"/>
      <c r="E583" s="250" t="n"/>
      <c r="F583" s="250" t="n"/>
      <c r="G583" s="250" t="n"/>
      <c r="H583" s="250" t="n"/>
      <c r="I583" s="250" t="n"/>
      <c r="J583" s="250" t="n"/>
      <c r="K583" s="250" t="n"/>
      <c r="L583" s="250" t="n"/>
      <c r="M583" s="250" t="n"/>
      <c r="N583" s="250" t="n"/>
      <c r="O583" s="251" t="n"/>
    </row>
    <row r="584" ht="22.5" customHeight="1">
      <c r="B584" s="127" t="inlineStr">
        <is>
          <t>KABA İNŞAAT EKİBİ</t>
        </is>
      </c>
      <c r="C584" s="218" t="n"/>
      <c r="D584" s="218" t="n"/>
      <c r="E584" s="219" t="n"/>
      <c r="F584" s="129" t="inlineStr">
        <is>
          <t>EKİP</t>
        </is>
      </c>
      <c r="G584" s="218" t="n"/>
      <c r="H584" s="218" t="n"/>
      <c r="I584" s="219" t="n"/>
      <c r="J584" s="133" t="inlineStr">
        <is>
          <t>HAFRİYAT EKİBİ</t>
        </is>
      </c>
      <c r="K584" s="218" t="n"/>
      <c r="L584" s="219" t="n"/>
      <c r="M584" s="134" t="inlineStr">
        <is>
          <t>İZOLASYON EKİBİ</t>
        </is>
      </c>
      <c r="N584" s="218" t="n"/>
      <c r="O584" s="219" t="n"/>
    </row>
    <row r="585" ht="26.25" customHeight="1">
      <c r="B585" s="127" t="inlineStr">
        <is>
          <t>PERSONEL</t>
        </is>
      </c>
      <c r="C585" s="219" t="n"/>
      <c r="D585" s="34" t="inlineStr">
        <is>
          <t>PUANTAJ</t>
        </is>
      </c>
      <c r="E585" s="128" t="inlineStr">
        <is>
          <t>KÜMÜLATİF PUANTAJ</t>
        </is>
      </c>
      <c r="F585" s="129" t="inlineStr">
        <is>
          <t>PERSONEL</t>
        </is>
      </c>
      <c r="G585" s="219" t="n"/>
      <c r="H585" s="35" t="inlineStr">
        <is>
          <t>PUANTAJ</t>
        </is>
      </c>
      <c r="I585" s="129" t="inlineStr">
        <is>
          <t>KÜMÜLATİF PUANTAJ</t>
        </is>
      </c>
      <c r="J585" s="133" t="inlineStr">
        <is>
          <t>PERSONEL</t>
        </is>
      </c>
      <c r="K585" s="34" t="inlineStr">
        <is>
          <t>PUANTAJ</t>
        </is>
      </c>
      <c r="L585" s="128" t="inlineStr">
        <is>
          <t>KÜMÜLATİF PUANTAJ</t>
        </is>
      </c>
      <c r="M585" s="36" t="inlineStr">
        <is>
          <t>PERSONEL</t>
        </is>
      </c>
      <c r="N585" s="35" t="inlineStr">
        <is>
          <t>PUANTAJ</t>
        </is>
      </c>
      <c r="O585" s="37" t="inlineStr">
        <is>
          <t>KÜMÜLATİF PUANTAJ</t>
        </is>
      </c>
    </row>
    <row r="586" ht="21" customFormat="1" customHeight="1" s="38">
      <c r="B586" s="107" t="inlineStr">
        <is>
          <t>Saha Mühendisi</t>
        </is>
      </c>
      <c r="C586" s="219" t="n"/>
      <c r="D586" s="39" t="n">
        <v>0</v>
      </c>
      <c r="E586" s="40">
        <f>D586</f>
        <v/>
      </c>
      <c r="F586" s="109" t="inlineStr">
        <is>
          <t>Saha Mühendisi</t>
        </is>
      </c>
      <c r="G586" s="219" t="n"/>
      <c r="H586" s="15" t="n">
        <v>0</v>
      </c>
      <c r="I586" s="41">
        <f>H586</f>
        <v/>
      </c>
      <c r="J586" s="42" t="inlineStr">
        <is>
          <t>Saha Mühendisi</t>
        </is>
      </c>
      <c r="K586" s="39" t="n">
        <v>0</v>
      </c>
      <c r="L586" s="40">
        <f>K586</f>
        <v/>
      </c>
      <c r="M586" s="43" t="inlineStr">
        <is>
          <t>Saha Mühendisi</t>
        </is>
      </c>
      <c r="N586" s="15" t="n">
        <v>0</v>
      </c>
      <c r="O586" s="10">
        <f>N586</f>
        <v/>
      </c>
    </row>
    <row r="587" ht="21" customFormat="1" customHeight="1" s="38">
      <c r="B587" s="107" t="inlineStr">
        <is>
          <t>Kalfa (Formen)</t>
        </is>
      </c>
      <c r="C587" s="219" t="n"/>
      <c r="D587" s="39" t="n">
        <v>0</v>
      </c>
      <c r="E587" s="40">
        <f>D587</f>
        <v/>
      </c>
      <c r="F587" s="109" t="inlineStr">
        <is>
          <t>Kalfa</t>
        </is>
      </c>
      <c r="G587" s="219" t="n"/>
      <c r="H587" s="15" t="n">
        <v>0</v>
      </c>
      <c r="I587" s="41">
        <f>H587</f>
        <v/>
      </c>
      <c r="J587" s="42" t="inlineStr">
        <is>
          <t>Kalfa</t>
        </is>
      </c>
      <c r="K587" s="39" t="n">
        <v>0</v>
      </c>
      <c r="L587" s="40">
        <f>K587</f>
        <v/>
      </c>
      <c r="M587" s="43" t="inlineStr">
        <is>
          <t>Kalfa</t>
        </is>
      </c>
      <c r="N587" s="15" t="n">
        <v>0</v>
      </c>
      <c r="O587" s="10">
        <f>N587</f>
        <v/>
      </c>
    </row>
    <row r="588" ht="21" customFormat="1" customHeight="1" s="38">
      <c r="B588" s="107" t="inlineStr">
        <is>
          <t>Usta ( Kalıpçı)</t>
        </is>
      </c>
      <c r="C588" s="219" t="n"/>
      <c r="D588" s="39" t="n">
        <v>0</v>
      </c>
      <c r="E588" s="40">
        <f>D588</f>
        <v/>
      </c>
      <c r="F588" s="109" t="inlineStr">
        <is>
          <t>Usta</t>
        </is>
      </c>
      <c r="G588" s="219" t="n"/>
      <c r="H588" s="15" t="n">
        <v>0</v>
      </c>
      <c r="I588" s="41">
        <f>H588</f>
        <v/>
      </c>
      <c r="J588" s="42" t="inlineStr">
        <is>
          <t>Topograf</t>
        </is>
      </c>
      <c r="K588" s="39" t="n">
        <v>0</v>
      </c>
      <c r="L588" s="40">
        <f>K588</f>
        <v/>
      </c>
      <c r="M588" s="43" t="inlineStr">
        <is>
          <t xml:space="preserve">Usta </t>
        </is>
      </c>
      <c r="N588" s="15" t="n">
        <v>0</v>
      </c>
      <c r="O588" s="10">
        <f>N588</f>
        <v/>
      </c>
    </row>
    <row r="589" ht="21" customFormat="1" customHeight="1" s="38">
      <c r="B589" s="107" t="inlineStr">
        <is>
          <t>Usta ( Demirci)</t>
        </is>
      </c>
      <c r="C589" s="219" t="n"/>
      <c r="D589" s="39" t="n">
        <v>0</v>
      </c>
      <c r="E589" s="40">
        <f>D589</f>
        <v/>
      </c>
      <c r="F589" s="109" t="inlineStr">
        <is>
          <t>Beden İşçisi</t>
        </is>
      </c>
      <c r="G589" s="219" t="n"/>
      <c r="H589" s="15" t="n">
        <v>0</v>
      </c>
      <c r="I589" s="41">
        <f>H589</f>
        <v/>
      </c>
      <c r="J589" s="42" t="inlineStr">
        <is>
          <t>Beden İşçisi</t>
        </is>
      </c>
      <c r="K589" s="39" t="n">
        <v>0</v>
      </c>
      <c r="L589" s="40">
        <f>K589</f>
        <v/>
      </c>
      <c r="M589" s="43" t="inlineStr">
        <is>
          <t>Beden İşçisi</t>
        </is>
      </c>
      <c r="N589" s="15" t="n">
        <v>0</v>
      </c>
      <c r="O589" s="10">
        <f>N589</f>
        <v/>
      </c>
    </row>
    <row r="590" ht="21" customFormat="1" customHeight="1" s="38">
      <c r="B590" s="107" t="inlineStr">
        <is>
          <t>Beden İşçisi</t>
        </is>
      </c>
      <c r="C590" s="219" t="n"/>
      <c r="D590" s="39" t="n">
        <v>0</v>
      </c>
      <c r="E590" s="40">
        <f>D590</f>
        <v/>
      </c>
      <c r="F590" s="109" t="inlineStr">
        <is>
          <t>İş. Mak. Opr.</t>
        </is>
      </c>
      <c r="G590" s="219" t="n"/>
      <c r="H590" s="15" t="n">
        <v>0</v>
      </c>
      <c r="I590" s="41">
        <f>H590</f>
        <v/>
      </c>
      <c r="J590" s="42" t="inlineStr">
        <is>
          <t>İş. Mak. Opr. (Eks.)</t>
        </is>
      </c>
      <c r="K590" s="39" t="n">
        <v>0</v>
      </c>
      <c r="L590" s="40">
        <f>K590</f>
        <v/>
      </c>
      <c r="M590" s="43" t="n"/>
      <c r="N590" s="15" t="n"/>
      <c r="O590" s="10" t="n"/>
    </row>
    <row r="591" ht="21" customFormat="1" customHeight="1" s="38">
      <c r="B591" s="107" t="inlineStr">
        <is>
          <t>İş. Mak. Opr.</t>
        </is>
      </c>
      <c r="C591" s="219" t="n"/>
      <c r="D591" s="39" t="n">
        <v>0</v>
      </c>
      <c r="E591" s="40">
        <f>D591</f>
        <v/>
      </c>
      <c r="F591" s="109" t="inlineStr">
        <is>
          <t>Test Ekibi</t>
        </is>
      </c>
      <c r="G591" s="219" t="n"/>
      <c r="H591" s="15" t="n">
        <v>0</v>
      </c>
      <c r="I591" s="41">
        <f>H591</f>
        <v/>
      </c>
      <c r="J591" s="42" t="inlineStr">
        <is>
          <t>Şoför (Kamyon)</t>
        </is>
      </c>
      <c r="K591" s="39" t="n">
        <v>0</v>
      </c>
      <c r="L591" s="40">
        <f>K591</f>
        <v/>
      </c>
      <c r="M591" s="43" t="n"/>
      <c r="N591" s="15" t="n"/>
      <c r="O591" s="10" t="n"/>
    </row>
    <row r="592" ht="21" customHeight="1">
      <c r="B592" s="130" t="inlineStr">
        <is>
          <t>TOPLAMLAR</t>
        </is>
      </c>
      <c r="C592" s="219" t="n"/>
      <c r="D592" s="34">
        <f>SUM(D586:D591)</f>
        <v/>
      </c>
      <c r="E592" s="34">
        <f>SUM(E586:E591)</f>
        <v/>
      </c>
      <c r="F592" s="132" t="inlineStr">
        <is>
          <t>TOPLAMLAR</t>
        </is>
      </c>
      <c r="G592" s="219" t="n"/>
      <c r="H592" s="35">
        <f>SUM(H586:H591)</f>
        <v/>
      </c>
      <c r="I592" s="35">
        <f>SUM(I586:I591)</f>
        <v/>
      </c>
      <c r="J592" s="133" t="inlineStr">
        <is>
          <t>TOPLAMLAR</t>
        </is>
      </c>
      <c r="K592" s="34">
        <f>SUM(K586:K591)</f>
        <v/>
      </c>
      <c r="L592" s="34">
        <f>SUM(L586:L591)</f>
        <v/>
      </c>
      <c r="M592" s="36" t="inlineStr">
        <is>
          <t>TOPLAMLAR</t>
        </is>
      </c>
      <c r="N592" s="35">
        <f>SUM(N586:N591)</f>
        <v/>
      </c>
      <c r="O592" s="44">
        <f>SUM(O586:O591)</f>
        <v/>
      </c>
    </row>
    <row r="593" ht="10.95" customHeight="1">
      <c r="B593" s="252" t="n"/>
      <c r="C593" s="218" t="n"/>
      <c r="D593" s="218" t="n"/>
      <c r="E593" s="218" t="n"/>
      <c r="F593" s="218" t="n"/>
      <c r="G593" s="218" t="n"/>
      <c r="H593" s="218" t="n"/>
      <c r="I593" s="218" t="n"/>
      <c r="J593" s="218" t="n"/>
      <c r="K593" s="218" t="n"/>
      <c r="L593" s="218" t="n"/>
      <c r="M593" s="218" t="n"/>
      <c r="N593" s="218" t="n"/>
      <c r="O593" s="220" t="n"/>
    </row>
    <row r="594" ht="26.25" customHeight="1">
      <c r="B594" s="127" t="inlineStr">
        <is>
          <t>EKİP</t>
        </is>
      </c>
      <c r="C594" s="218" t="n"/>
      <c r="D594" s="218" t="n"/>
      <c r="E594" s="219" t="n"/>
      <c r="F594" s="129" t="inlineStr">
        <is>
          <t xml:space="preserve">CEPHE- ÇATI EKİBİ </t>
        </is>
      </c>
      <c r="G594" s="218" t="n"/>
      <c r="H594" s="218" t="n"/>
      <c r="I594" s="219" t="n"/>
      <c r="J594" s="133" t="inlineStr">
        <is>
          <t xml:space="preserve">MEKANİK EKİBİ </t>
        </is>
      </c>
      <c r="K594" s="218" t="n"/>
      <c r="L594" s="219" t="n"/>
      <c r="M594" s="134" t="inlineStr">
        <is>
          <t xml:space="preserve">ELEKTRİK EKİBİ </t>
        </is>
      </c>
      <c r="N594" s="218" t="n"/>
      <c r="O594" s="219" t="n"/>
    </row>
    <row r="595" ht="26.25" customHeight="1">
      <c r="B595" s="127" t="inlineStr">
        <is>
          <t>PERSONEL</t>
        </is>
      </c>
      <c r="C595" s="219" t="n"/>
      <c r="D595" s="34" t="inlineStr">
        <is>
          <t>PUANTAJ</t>
        </is>
      </c>
      <c r="E595" s="128" t="inlineStr">
        <is>
          <t>KÜMÜLATİF PUANTAJ</t>
        </is>
      </c>
      <c r="F595" s="129" t="inlineStr">
        <is>
          <t>PERSONEL</t>
        </is>
      </c>
      <c r="G595" s="219" t="n"/>
      <c r="H595" s="35" t="inlineStr">
        <is>
          <t>PUANTAJ</t>
        </is>
      </c>
      <c r="I595" s="129" t="inlineStr">
        <is>
          <t>KÜMÜLATİF PUANTAJ</t>
        </is>
      </c>
      <c r="J595" s="133" t="inlineStr">
        <is>
          <t>PERSONEL</t>
        </is>
      </c>
      <c r="K595" s="34" t="inlineStr">
        <is>
          <t>PUANTAJ</t>
        </is>
      </c>
      <c r="L595" s="128" t="inlineStr">
        <is>
          <t>KÜMÜLATİF PUANTAJ</t>
        </is>
      </c>
      <c r="M595" s="36" t="inlineStr">
        <is>
          <t>PERSONEL</t>
        </is>
      </c>
      <c r="N595" s="35" t="inlineStr">
        <is>
          <t>PUANTAJ</t>
        </is>
      </c>
      <c r="O595" s="37" t="inlineStr">
        <is>
          <t>KÜMÜLATİF PUANTAJ</t>
        </is>
      </c>
    </row>
    <row r="596" ht="21" customHeight="1">
      <c r="B596" s="107" t="inlineStr">
        <is>
          <t>Saha Mühendisi</t>
        </is>
      </c>
      <c r="C596" s="219" t="n"/>
      <c r="D596" s="39" t="n">
        <v>0</v>
      </c>
      <c r="E596" s="39">
        <f>D596</f>
        <v/>
      </c>
      <c r="F596" s="109" t="inlineStr">
        <is>
          <t>Saha Mühendisi</t>
        </is>
      </c>
      <c r="G596" s="219" t="n"/>
      <c r="H596" s="15" t="n">
        <v>0</v>
      </c>
      <c r="I596" s="15">
        <f>H596</f>
        <v/>
      </c>
      <c r="J596" s="42" t="inlineStr">
        <is>
          <t>Saha Mühendisi</t>
        </is>
      </c>
      <c r="K596" s="39" t="n">
        <v>0</v>
      </c>
      <c r="L596" s="39">
        <f>K596</f>
        <v/>
      </c>
      <c r="M596" s="43" t="inlineStr">
        <is>
          <t>Saha Mühendisi</t>
        </is>
      </c>
      <c r="N596" s="15" t="n">
        <v>0</v>
      </c>
      <c r="O596" s="10">
        <f>N596</f>
        <v/>
      </c>
    </row>
    <row r="597" ht="21" customHeight="1">
      <c r="B597" s="107" t="inlineStr">
        <is>
          <t>Kalfa</t>
        </is>
      </c>
      <c r="C597" s="219" t="n"/>
      <c r="D597" s="39" t="n">
        <v>0</v>
      </c>
      <c r="E597" s="39">
        <f>D597</f>
        <v/>
      </c>
      <c r="F597" s="109" t="inlineStr">
        <is>
          <t>Kalfa</t>
        </is>
      </c>
      <c r="G597" s="219" t="n"/>
      <c r="H597" s="15" t="n">
        <v>0</v>
      </c>
      <c r="I597" s="15">
        <f>H597</f>
        <v/>
      </c>
      <c r="J597" s="42" t="inlineStr">
        <is>
          <t>Kalfa</t>
        </is>
      </c>
      <c r="K597" s="39" t="n">
        <v>0</v>
      </c>
      <c r="L597" s="39">
        <f>K597</f>
        <v/>
      </c>
      <c r="M597" s="43" t="inlineStr">
        <is>
          <t>Kalfa</t>
        </is>
      </c>
      <c r="N597" s="15" t="n">
        <v>0</v>
      </c>
      <c r="O597" s="10">
        <f>N597</f>
        <v/>
      </c>
    </row>
    <row r="598" ht="21" customHeight="1">
      <c r="B598" s="107" t="inlineStr">
        <is>
          <t xml:space="preserve">Usta </t>
        </is>
      </c>
      <c r="C598" s="219" t="n"/>
      <c r="D598" s="39" t="n">
        <v>0</v>
      </c>
      <c r="E598" s="39">
        <f>D598</f>
        <v/>
      </c>
      <c r="F598" s="109" t="inlineStr">
        <is>
          <t xml:space="preserve">Usta </t>
        </is>
      </c>
      <c r="G598" s="219" t="n"/>
      <c r="H598" s="15" t="n">
        <v>0</v>
      </c>
      <c r="I598" s="15">
        <f>H598</f>
        <v/>
      </c>
      <c r="J598" s="42" t="inlineStr">
        <is>
          <t xml:space="preserve">Usta </t>
        </is>
      </c>
      <c r="K598" s="39" t="n">
        <v>0</v>
      </c>
      <c r="L598" s="39">
        <f>K598</f>
        <v/>
      </c>
      <c r="M598" s="43" t="inlineStr">
        <is>
          <t xml:space="preserve">Usta </t>
        </is>
      </c>
      <c r="N598" s="15" t="n">
        <v>0</v>
      </c>
      <c r="O598" s="10">
        <f>N598</f>
        <v/>
      </c>
    </row>
    <row r="599" ht="21" customHeight="1">
      <c r="B599" s="107" t="inlineStr">
        <is>
          <t>Beden İşçisi</t>
        </is>
      </c>
      <c r="C599" s="219" t="n"/>
      <c r="D599" s="39" t="n">
        <v>0</v>
      </c>
      <c r="E599" s="39">
        <f>D599</f>
        <v/>
      </c>
      <c r="F599" s="109" t="inlineStr">
        <is>
          <t>Beden İşçisi</t>
        </is>
      </c>
      <c r="G599" s="219" t="n"/>
      <c r="H599" s="15" t="n">
        <v>0</v>
      </c>
      <c r="I599" s="15">
        <f>H599</f>
        <v/>
      </c>
      <c r="J599" s="42" t="inlineStr">
        <is>
          <t>Beden İşçisi</t>
        </is>
      </c>
      <c r="K599" s="39" t="n">
        <v>0</v>
      </c>
      <c r="L599" s="39">
        <f>K599</f>
        <v/>
      </c>
      <c r="M599" s="43" t="inlineStr">
        <is>
          <t>Beden İşçisi</t>
        </is>
      </c>
      <c r="N599" s="15" t="n">
        <v>0</v>
      </c>
      <c r="O599" s="10">
        <f>N599</f>
        <v/>
      </c>
    </row>
    <row r="600" ht="21" customHeight="1">
      <c r="B600" s="107" t="inlineStr">
        <is>
          <t>İş. Mak. Opr.</t>
        </is>
      </c>
      <c r="C600" s="219" t="n"/>
      <c r="D600" s="39" t="n">
        <v>0</v>
      </c>
      <c r="E600" s="39">
        <f>D600</f>
        <v/>
      </c>
      <c r="F600" s="109" t="inlineStr">
        <is>
          <t>İş. Mak. Opr.</t>
        </is>
      </c>
      <c r="G600" s="219" t="n"/>
      <c r="H600" s="15" t="n">
        <v>0</v>
      </c>
      <c r="I600" s="15">
        <f>H600</f>
        <v/>
      </c>
      <c r="J600" s="42" t="inlineStr">
        <is>
          <t>İş. Mak. Opr.</t>
        </is>
      </c>
      <c r="K600" s="39" t="n">
        <v>0</v>
      </c>
      <c r="L600" s="39">
        <f>K600</f>
        <v/>
      </c>
      <c r="M600" s="43" t="inlineStr">
        <is>
          <t>İş. Mak. Opr.</t>
        </is>
      </c>
      <c r="N600" s="15" t="n">
        <v>0</v>
      </c>
      <c r="O600" s="10">
        <f>N600</f>
        <v/>
      </c>
    </row>
    <row r="601" ht="21" customFormat="1" customHeight="1" s="45">
      <c r="B601" s="130" t="inlineStr">
        <is>
          <t>TOPLAMLAR</t>
        </is>
      </c>
      <c r="C601" s="219" t="n"/>
      <c r="D601" s="34">
        <f>SUM(D595:D600)</f>
        <v/>
      </c>
      <c r="E601" s="34">
        <f>SUM(E596:E600)</f>
        <v/>
      </c>
      <c r="F601" s="132" t="inlineStr">
        <is>
          <t>TOPLAMLAR</t>
        </is>
      </c>
      <c r="G601" s="219" t="n"/>
      <c r="H601" s="35">
        <f>SUM(H595:H600)</f>
        <v/>
      </c>
      <c r="I601" s="35">
        <f>SUM(I596:I600)</f>
        <v/>
      </c>
      <c r="J601" s="133" t="inlineStr">
        <is>
          <t>TOPLAMLAR</t>
        </is>
      </c>
      <c r="K601" s="34">
        <f>SUM(K595:K600)</f>
        <v/>
      </c>
      <c r="L601" s="34">
        <f>SUM(L596:L600)</f>
        <v/>
      </c>
      <c r="M601" s="36" t="inlineStr">
        <is>
          <t>TOPLAMLAR</t>
        </is>
      </c>
      <c r="N601" s="35">
        <f>SUM(N595:N600)</f>
        <v/>
      </c>
      <c r="O601" s="44">
        <f>SUM(O596:O600)</f>
        <v/>
      </c>
    </row>
    <row r="602" ht="10.95" customHeight="1">
      <c r="B602" s="252" t="n"/>
      <c r="C602" s="218" t="n"/>
      <c r="D602" s="218" t="n"/>
      <c r="E602" s="218" t="n"/>
      <c r="F602" s="218" t="n"/>
      <c r="G602" s="218" t="n"/>
      <c r="H602" s="218" t="n"/>
      <c r="I602" s="218" t="n"/>
      <c r="J602" s="218" t="n"/>
      <c r="K602" s="218" t="n"/>
      <c r="L602" s="218" t="n"/>
      <c r="M602" s="218" t="n"/>
      <c r="N602" s="218" t="n"/>
      <c r="O602" s="220" t="n"/>
    </row>
    <row r="603" ht="26.25" customHeight="1">
      <c r="B603" s="127" t="inlineStr">
        <is>
          <t>EKİP</t>
        </is>
      </c>
      <c r="C603" s="218" t="n"/>
      <c r="D603" s="218" t="n"/>
      <c r="E603" s="219" t="n"/>
      <c r="F603" s="129" t="inlineStr">
        <is>
          <t>EKİP</t>
        </is>
      </c>
      <c r="G603" s="218" t="n"/>
      <c r="H603" s="218" t="n"/>
      <c r="I603" s="219" t="n"/>
      <c r="J603" s="133" t="inlineStr">
        <is>
          <t>EKİP</t>
        </is>
      </c>
      <c r="K603" s="218" t="n"/>
      <c r="L603" s="219" t="n"/>
      <c r="M603" s="133" t="inlineStr">
        <is>
          <t>EKİP</t>
        </is>
      </c>
      <c r="N603" s="218" t="n"/>
      <c r="O603" s="219" t="n"/>
    </row>
    <row r="604" ht="26.25" customHeight="1">
      <c r="B604" s="127" t="inlineStr">
        <is>
          <t>PERSONEL</t>
        </is>
      </c>
      <c r="C604" s="219" t="n"/>
      <c r="D604" s="34" t="inlineStr">
        <is>
          <t>PUANTAJ</t>
        </is>
      </c>
      <c r="E604" s="128" t="inlineStr">
        <is>
          <t>KÜMÜLATİF PUANTAJ</t>
        </is>
      </c>
      <c r="F604" s="129" t="inlineStr">
        <is>
          <t>PERSONEL</t>
        </is>
      </c>
      <c r="G604" s="219" t="n"/>
      <c r="H604" s="35" t="inlineStr">
        <is>
          <t>PUANTAJ</t>
        </is>
      </c>
      <c r="I604" s="129" t="inlineStr">
        <is>
          <t>KÜMÜLATİF PUANTAJ</t>
        </is>
      </c>
      <c r="J604" s="133" t="inlineStr">
        <is>
          <t>PERSONEL</t>
        </is>
      </c>
      <c r="K604" s="34" t="inlineStr">
        <is>
          <t>PUANTAJ</t>
        </is>
      </c>
      <c r="L604" s="128" t="inlineStr">
        <is>
          <t>KÜMÜLATİF PUANTAJ</t>
        </is>
      </c>
      <c r="M604" s="36" t="inlineStr">
        <is>
          <t>PERSONEL</t>
        </is>
      </c>
      <c r="N604" s="35" t="inlineStr">
        <is>
          <t>PUANTAJ</t>
        </is>
      </c>
      <c r="O604" s="37" t="inlineStr">
        <is>
          <t>KÜMÜLATİF PUANTAJ</t>
        </is>
      </c>
    </row>
    <row r="605" ht="22.2" customHeight="1">
      <c r="B605" s="107" t="inlineStr">
        <is>
          <t>Saha Mühendisi</t>
        </is>
      </c>
      <c r="C605" s="219" t="n"/>
      <c r="D605" s="39" t="n">
        <v>0</v>
      </c>
      <c r="E605" s="39">
        <f>D605</f>
        <v/>
      </c>
      <c r="F605" s="109" t="inlineStr">
        <is>
          <t>Saha Mühendisi</t>
        </is>
      </c>
      <c r="G605" s="219" t="n"/>
      <c r="H605" s="15" t="n">
        <v>0</v>
      </c>
      <c r="I605" s="15">
        <f>H605</f>
        <v/>
      </c>
      <c r="J605" s="42" t="inlineStr">
        <is>
          <t>Saha Mühendisi</t>
        </is>
      </c>
      <c r="K605" s="39" t="n">
        <v>0</v>
      </c>
      <c r="L605" s="39">
        <f>K605</f>
        <v/>
      </c>
      <c r="M605" s="43" t="inlineStr">
        <is>
          <t>Saha Mühendisi</t>
        </is>
      </c>
      <c r="N605" s="15" t="n">
        <v>0</v>
      </c>
      <c r="O605" s="10">
        <f>N605</f>
        <v/>
      </c>
    </row>
    <row r="606" ht="22.2" customHeight="1">
      <c r="B606" s="107" t="inlineStr">
        <is>
          <t>Kalfa</t>
        </is>
      </c>
      <c r="C606" s="219" t="n"/>
      <c r="D606" s="39" t="n">
        <v>0</v>
      </c>
      <c r="E606" s="39">
        <f>D606</f>
        <v/>
      </c>
      <c r="F606" s="109" t="inlineStr">
        <is>
          <t>Kalfa</t>
        </is>
      </c>
      <c r="G606" s="219" t="n"/>
      <c r="H606" s="15" t="n">
        <v>0</v>
      </c>
      <c r="I606" s="15">
        <f>H606</f>
        <v/>
      </c>
      <c r="J606" s="42" t="inlineStr">
        <is>
          <t>Kalfa</t>
        </is>
      </c>
      <c r="K606" s="39" t="n">
        <v>0</v>
      </c>
      <c r="L606" s="39">
        <f>K606</f>
        <v/>
      </c>
      <c r="M606" s="43" t="inlineStr">
        <is>
          <t>Kalfa</t>
        </is>
      </c>
      <c r="N606" s="15" t="n">
        <v>0</v>
      </c>
      <c r="O606" s="10">
        <f>N606</f>
        <v/>
      </c>
    </row>
    <row r="607" ht="22.2" customHeight="1">
      <c r="B607" s="107" t="inlineStr">
        <is>
          <t xml:space="preserve">Usta </t>
        </is>
      </c>
      <c r="C607" s="219" t="n"/>
      <c r="D607" s="39" t="n">
        <v>0</v>
      </c>
      <c r="E607" s="39">
        <f>D607</f>
        <v/>
      </c>
      <c r="F607" s="109" t="inlineStr">
        <is>
          <t xml:space="preserve">Usta </t>
        </is>
      </c>
      <c r="G607" s="219" t="n"/>
      <c r="H607" s="15" t="n">
        <v>0</v>
      </c>
      <c r="I607" s="15">
        <f>H607</f>
        <v/>
      </c>
      <c r="J607" s="42" t="inlineStr">
        <is>
          <t xml:space="preserve">Usta </t>
        </is>
      </c>
      <c r="K607" s="39" t="n">
        <v>0</v>
      </c>
      <c r="L607" s="39">
        <f>K607</f>
        <v/>
      </c>
      <c r="M607" s="43" t="inlineStr">
        <is>
          <t xml:space="preserve">Usta </t>
        </is>
      </c>
      <c r="N607" s="15" t="n">
        <v>0</v>
      </c>
      <c r="O607" s="10">
        <f>N607</f>
        <v/>
      </c>
    </row>
    <row r="608" ht="22.2" customHeight="1">
      <c r="B608" s="107" t="inlineStr">
        <is>
          <t>Beden İşçisi</t>
        </is>
      </c>
      <c r="C608" s="219" t="n"/>
      <c r="D608" s="39" t="n">
        <v>0</v>
      </c>
      <c r="E608" s="39">
        <f>D608</f>
        <v/>
      </c>
      <c r="F608" s="109" t="inlineStr">
        <is>
          <t>Beden İşçisi</t>
        </is>
      </c>
      <c r="G608" s="219" t="n"/>
      <c r="H608" s="15" t="n">
        <v>0</v>
      </c>
      <c r="I608" s="15">
        <f>H608</f>
        <v/>
      </c>
      <c r="J608" s="42" t="inlineStr">
        <is>
          <t>Beden İşçisi</t>
        </is>
      </c>
      <c r="K608" s="39" t="n">
        <v>0</v>
      </c>
      <c r="L608" s="39">
        <f>K608</f>
        <v/>
      </c>
      <c r="M608" s="43" t="inlineStr">
        <is>
          <t>Beden İşçisi</t>
        </is>
      </c>
      <c r="N608" s="15" t="n">
        <v>0</v>
      </c>
      <c r="O608" s="10">
        <f>N608</f>
        <v/>
      </c>
    </row>
    <row r="609" ht="22.2" customHeight="1">
      <c r="B609" s="107" t="inlineStr">
        <is>
          <t>İş. Mak. Opr.</t>
        </is>
      </c>
      <c r="C609" s="219" t="n"/>
      <c r="D609" s="39" t="n">
        <v>0</v>
      </c>
      <c r="E609" s="39">
        <f>D609</f>
        <v/>
      </c>
      <c r="F609" s="109" t="inlineStr">
        <is>
          <t>İş. Mak. Opr.</t>
        </is>
      </c>
      <c r="G609" s="219" t="n"/>
      <c r="H609" s="15" t="n">
        <v>0</v>
      </c>
      <c r="I609" s="15">
        <f>H609</f>
        <v/>
      </c>
      <c r="J609" s="42" t="inlineStr">
        <is>
          <t>İş. Mak. Opr.</t>
        </is>
      </c>
      <c r="K609" s="39" t="n">
        <v>0</v>
      </c>
      <c r="L609" s="39">
        <f>K609</f>
        <v/>
      </c>
      <c r="M609" s="43" t="inlineStr">
        <is>
          <t>İş. Mak. Opr.</t>
        </is>
      </c>
      <c r="N609" s="15" t="n">
        <v>0</v>
      </c>
      <c r="O609" s="10">
        <f>N609</f>
        <v/>
      </c>
    </row>
    <row r="610" ht="22.2" customFormat="1" customHeight="1" s="45">
      <c r="B610" s="130" t="inlineStr">
        <is>
          <t>TOPLAMLAR</t>
        </is>
      </c>
      <c r="C610" s="219" t="n"/>
      <c r="D610" s="34">
        <f>SUM(D604:D609)</f>
        <v/>
      </c>
      <c r="E610" s="34">
        <f>SUM(E605:E609)</f>
        <v/>
      </c>
      <c r="F610" s="132" t="inlineStr">
        <is>
          <t>TOPLAMLAR</t>
        </is>
      </c>
      <c r="G610" s="219" t="n"/>
      <c r="H610" s="35">
        <f>SUM(H604:H609)</f>
        <v/>
      </c>
      <c r="I610" s="35">
        <f>SUM(I605:I609)</f>
        <v/>
      </c>
      <c r="J610" s="133" t="inlineStr">
        <is>
          <t>TOPLAMLAR</t>
        </is>
      </c>
      <c r="K610" s="34">
        <f>SUM(K604:K609)</f>
        <v/>
      </c>
      <c r="L610" s="34">
        <f>SUM(L605:L609)</f>
        <v/>
      </c>
      <c r="M610" s="36" t="inlineStr">
        <is>
          <t>TOPLAMLAR</t>
        </is>
      </c>
      <c r="N610" s="35">
        <f>SUM(N604:N609)</f>
        <v/>
      </c>
      <c r="O610" s="44">
        <f>SUM(O605:O609)</f>
        <v/>
      </c>
    </row>
    <row r="611" ht="10.95" customHeight="1">
      <c r="B611" s="252" t="n"/>
      <c r="C611" s="218" t="n"/>
      <c r="D611" s="218" t="n"/>
      <c r="E611" s="218" t="n"/>
      <c r="F611" s="218" t="n"/>
      <c r="G611" s="218" t="n"/>
      <c r="H611" s="218" t="n"/>
      <c r="I611" s="218" t="n"/>
      <c r="J611" s="218" t="n"/>
      <c r="K611" s="218" t="n"/>
      <c r="L611" s="218" t="n"/>
      <c r="M611" s="218" t="n"/>
      <c r="N611" s="218" t="n"/>
      <c r="O611" s="220" t="n"/>
    </row>
    <row r="612" ht="27" customFormat="1" customHeight="1" s="46">
      <c r="B612" s="253" t="inlineStr">
        <is>
          <t>GÜNLÜK TOPLAM</t>
        </is>
      </c>
      <c r="C612" s="218" t="n"/>
      <c r="D612" s="218" t="n"/>
      <c r="E612" s="218" t="n"/>
      <c r="F612" s="218" t="n"/>
      <c r="G612" s="218" t="n"/>
      <c r="H612" s="218" t="n"/>
      <c r="I612" s="218" t="n"/>
      <c r="J612" s="218" t="n"/>
      <c r="K612" s="218" t="n"/>
      <c r="L612" s="218" t="n"/>
      <c r="M612" s="219" t="n"/>
      <c r="N612" s="254">
        <f>D592+H592+K592+N592+D601+H601+K601+N601+D610+H610+K610+N610</f>
        <v/>
      </c>
      <c r="O612" s="220" t="n"/>
    </row>
    <row r="613" ht="27" customFormat="1" customHeight="1" s="46" thickBot="1">
      <c r="B613" s="255" t="inlineStr">
        <is>
          <t>KÜMÜLATİF TOPLAM</t>
        </is>
      </c>
      <c r="C613" s="222" t="n"/>
      <c r="D613" s="222" t="n"/>
      <c r="E613" s="222" t="n"/>
      <c r="F613" s="222" t="n"/>
      <c r="G613" s="222" t="n"/>
      <c r="H613" s="222" t="n"/>
      <c r="I613" s="222" t="n"/>
      <c r="J613" s="222" t="n"/>
      <c r="K613" s="222" t="n"/>
      <c r="L613" s="222" t="n"/>
      <c r="M613" s="223" t="n"/>
      <c r="N613" s="256">
        <f>E592+I592+L592+O592+E601+I601+L601+O601+E610+I610+L610+O610</f>
        <v/>
      </c>
      <c r="O613" s="226" t="n"/>
    </row>
    <row r="614" ht="87" customHeight="1" thickBot="1">
      <c r="B614" s="213" t="n"/>
      <c r="C614" s="214" t="n"/>
      <c r="D614" s="214" t="n"/>
      <c r="E614" s="215" t="n"/>
      <c r="F614" s="97" t="inlineStr">
        <is>
          <t>GÜNLÜK FAALİYET RAPORU
0XXXX-XXX-SGM-XXX-XXX-DPR-IPY-100001</t>
        </is>
      </c>
      <c r="G614" s="214" t="n"/>
      <c r="H614" s="214" t="n"/>
      <c r="I614" s="214" t="n"/>
      <c r="J614" s="214" t="n"/>
      <c r="K614" s="215" t="n"/>
      <c r="L614" s="99" t="inlineStr">
        <is>
          <t>LOGO</t>
        </is>
      </c>
      <c r="M614" s="214" t="n"/>
      <c r="N614" s="214" t="n"/>
      <c r="O614" s="216" t="n"/>
    </row>
    <row r="615" ht="21" customHeight="1" thickBot="1">
      <c r="B615" s="257" t="inlineStr">
        <is>
          <t>YAPILAN İŞLER</t>
        </is>
      </c>
      <c r="C615" s="258" t="n"/>
      <c r="D615" s="258" t="n"/>
      <c r="E615" s="258" t="n"/>
      <c r="F615" s="258" t="n"/>
      <c r="G615" s="258" t="n"/>
      <c r="H615" s="258" t="n"/>
      <c r="I615" s="258" t="n"/>
      <c r="J615" s="258" t="n"/>
      <c r="K615" s="258" t="n"/>
      <c r="L615" s="258" t="n"/>
      <c r="M615" s="258" t="n"/>
      <c r="N615" s="258" t="n"/>
      <c r="O615" s="259" t="n"/>
    </row>
    <row r="616" ht="40.2" customFormat="1" customHeight="1" s="45">
      <c r="B616" s="47" t="inlineStr">
        <is>
          <t>NO</t>
        </is>
      </c>
      <c r="C616" s="260" t="inlineStr">
        <is>
          <t>AÇIKLAMA</t>
        </is>
      </c>
      <c r="D616" s="214" t="n"/>
      <c r="E616" s="214" t="n"/>
      <c r="F616" s="214" t="n"/>
      <c r="G616" s="214" t="n"/>
      <c r="H616" s="214" t="n"/>
      <c r="I616" s="215" t="n"/>
      <c r="J616" s="48" t="inlineStr">
        <is>
          <t>İLGİLİ FİRMA/ÇALIŞAN SAYISI</t>
        </is>
      </c>
      <c r="K616" s="261" t="inlineStr">
        <is>
          <t>İLAVE NOTLAR</t>
        </is>
      </c>
      <c r="L616" s="214" t="n"/>
      <c r="M616" s="214" t="n"/>
      <c r="N616" s="214" t="n"/>
      <c r="O616" s="216" t="n"/>
    </row>
    <row r="617" hidden="1" ht="19.95" customFormat="1" customHeight="1" s="45">
      <c r="B617" s="49" t="n"/>
      <c r="C617" s="262" t="inlineStr">
        <is>
          <t>Ruhsat Alım İşleri</t>
        </is>
      </c>
      <c r="D617" s="218" t="n"/>
      <c r="E617" s="218" t="n"/>
      <c r="F617" s="218" t="n"/>
      <c r="G617" s="218" t="n"/>
      <c r="H617" s="218" t="n"/>
      <c r="I617" s="219" t="n"/>
      <c r="J617" s="50" t="n"/>
      <c r="K617" s="263" t="n"/>
      <c r="L617" s="218" t="n"/>
      <c r="M617" s="218" t="n"/>
      <c r="N617" s="218" t="n"/>
      <c r="O617" s="220" t="n"/>
    </row>
    <row r="618" hidden="1" ht="49.95" customFormat="1" customHeight="1" s="45">
      <c r="B618" s="51" t="n">
        <v>1</v>
      </c>
      <c r="C618" s="264" t="inlineStr">
        <is>
          <t>Yapım ruhsatı yazılmış olup, yapı denetim ve Akyurt Belediyesinde tüm imzalar tamamlanmıştır. SGK Müdürlüğüne gidilerek İşyeri açılışı için başvuru yapılmış ve İşyeri açılışı yapılmıştır.</t>
        </is>
      </c>
      <c r="D618" s="218" t="n"/>
      <c r="E618" s="218" t="n"/>
      <c r="F618" s="218" t="n"/>
      <c r="G618" s="218" t="n"/>
      <c r="H618" s="218" t="n"/>
      <c r="I618" s="219" t="n"/>
      <c r="J618" s="52" t="n"/>
      <c r="K618" s="265" t="inlineStr">
        <is>
          <t>SGK İşyeri Sicil Numarası : 4.4120.0101.1457705.006.27.57.000.040</t>
        </is>
      </c>
      <c r="L618" s="218" t="n"/>
      <c r="M618" s="218" t="n"/>
      <c r="N618" s="218" t="n"/>
      <c r="O618" s="220" t="n"/>
    </row>
    <row r="619" hidden="1" ht="19.95" customFormat="1" customHeight="1" s="45">
      <c r="B619" s="49" t="n"/>
      <c r="C619" s="262" t="inlineStr">
        <is>
          <t>Mobilizasyon İşleri</t>
        </is>
      </c>
      <c r="D619" s="218" t="n"/>
      <c r="E619" s="218" t="n"/>
      <c r="F619" s="218" t="n"/>
      <c r="G619" s="218" t="n"/>
      <c r="H619" s="218" t="n"/>
      <c r="I619" s="219" t="n"/>
      <c r="J619" s="50" t="n"/>
      <c r="K619" s="263" t="n"/>
      <c r="L619" s="218" t="n"/>
      <c r="M619" s="218" t="n"/>
      <c r="N619" s="218" t="n"/>
      <c r="O619" s="220" t="n"/>
    </row>
    <row r="620" hidden="1" ht="30" customFormat="1" customHeight="1" s="45">
      <c r="B620" s="51" t="n">
        <v>1</v>
      </c>
      <c r="C620" s="264" t="inlineStr">
        <is>
          <t>Mobilizasyon çalışmaları devam etmektedir.</t>
        </is>
      </c>
      <c r="D620" s="218" t="n"/>
      <c r="E620" s="218" t="n"/>
      <c r="F620" s="218" t="n"/>
      <c r="G620" s="218" t="n"/>
      <c r="H620" s="218" t="n"/>
      <c r="I620" s="219" t="n"/>
      <c r="J620" s="52" t="n"/>
      <c r="K620" s="265" t="inlineStr">
        <is>
          <t>İSG önlemleri kapsamında çalışmalar yapıldı.</t>
        </is>
      </c>
      <c r="L620" s="218" t="n"/>
      <c r="M620" s="218" t="n"/>
      <c r="N620" s="218" t="n"/>
      <c r="O620" s="220" t="n"/>
    </row>
    <row r="621" ht="19.95" customFormat="1" customHeight="1" s="45">
      <c r="B621" s="49" t="n"/>
      <c r="C621" s="262" t="inlineStr">
        <is>
          <t>Kazı İşleri</t>
        </is>
      </c>
      <c r="D621" s="218" t="n"/>
      <c r="E621" s="218" t="n"/>
      <c r="F621" s="218" t="n"/>
      <c r="G621" s="218" t="n"/>
      <c r="H621" s="218" t="n"/>
      <c r="I621" s="219" t="n"/>
      <c r="J621" s="50" t="n"/>
      <c r="K621" s="263" t="n"/>
      <c r="L621" s="218" t="n"/>
      <c r="M621" s="218" t="n"/>
      <c r="N621" s="218" t="n"/>
      <c r="O621" s="220" t="n"/>
    </row>
    <row r="622" ht="34.5" customFormat="1" customHeight="1" s="45">
      <c r="B622" s="51" t="n">
        <v>1</v>
      </c>
      <c r="C622" s="266" t="n"/>
      <c r="D622" s="218" t="n"/>
      <c r="E622" s="218" t="n"/>
      <c r="F622" s="218" t="n"/>
      <c r="G622" s="218" t="n"/>
      <c r="H622" s="218" t="n"/>
      <c r="I622" s="219" t="n"/>
      <c r="J622" s="52" t="n"/>
      <c r="K622" s="267" t="n"/>
      <c r="L622" s="218" t="n"/>
      <c r="M622" s="218" t="n"/>
      <c r="N622" s="218" t="n"/>
      <c r="O622" s="220" t="n"/>
    </row>
    <row r="623" ht="34.5" customFormat="1" customHeight="1" s="45">
      <c r="B623" s="51" t="n">
        <v>2</v>
      </c>
      <c r="C623" s="266" t="n"/>
      <c r="D623" s="218" t="n"/>
      <c r="E623" s="218" t="n"/>
      <c r="F623" s="218" t="n"/>
      <c r="G623" s="218" t="n"/>
      <c r="H623" s="218" t="n"/>
      <c r="I623" s="219" t="n"/>
      <c r="J623" s="52" t="n"/>
      <c r="K623" s="267" t="n"/>
      <c r="L623" s="218" t="n"/>
      <c r="M623" s="218" t="n"/>
      <c r="N623" s="218" t="n"/>
      <c r="O623" s="220" t="n"/>
    </row>
    <row r="624" ht="35.4" customFormat="1" customHeight="1" s="45">
      <c r="B624" s="51" t="n">
        <v>3</v>
      </c>
      <c r="C624" s="264" t="n"/>
      <c r="D624" s="218" t="n"/>
      <c r="E624" s="218" t="n"/>
      <c r="F624" s="218" t="n"/>
      <c r="G624" s="218" t="n"/>
      <c r="H624" s="218" t="n"/>
      <c r="I624" s="219" t="n"/>
      <c r="J624" s="52" t="n"/>
      <c r="K624" s="265" t="n"/>
      <c r="L624" s="218" t="n"/>
      <c r="M624" s="218" t="n"/>
      <c r="N624" s="218" t="n"/>
      <c r="O624" s="220" t="n"/>
    </row>
    <row r="625" ht="19.95" customFormat="1" customHeight="1" s="45">
      <c r="B625" s="49" t="n"/>
      <c r="C625" s="262" t="inlineStr">
        <is>
          <t>Betonarme Kaba Yapı İşleri</t>
        </is>
      </c>
      <c r="D625" s="218" t="n"/>
      <c r="E625" s="218" t="n"/>
      <c r="F625" s="218" t="n"/>
      <c r="G625" s="218" t="n"/>
      <c r="H625" s="218" t="n"/>
      <c r="I625" s="219" t="n"/>
      <c r="J625" s="50" t="n"/>
      <c r="K625" s="263" t="n"/>
      <c r="L625" s="218" t="n"/>
      <c r="M625" s="218" t="n"/>
      <c r="N625" s="218" t="n"/>
      <c r="O625" s="220" t="n"/>
    </row>
    <row r="626" ht="34.5" customFormat="1" customHeight="1" s="45">
      <c r="B626" s="51" t="n">
        <v>1</v>
      </c>
      <c r="C626" s="266" t="n"/>
      <c r="D626" s="218" t="n"/>
      <c r="E626" s="218" t="n"/>
      <c r="F626" s="218" t="n"/>
      <c r="G626" s="218" t="n"/>
      <c r="H626" s="218" t="n"/>
      <c r="I626" s="219" t="n"/>
      <c r="J626" s="52" t="n"/>
      <c r="K626" s="65" t="n"/>
      <c r="L626" s="66" t="n"/>
      <c r="M626" s="66" t="n"/>
      <c r="N626" s="66" t="n"/>
      <c r="O626" s="67" t="n"/>
    </row>
    <row r="627" ht="34.5" customFormat="1" customHeight="1" s="45">
      <c r="B627" s="51" t="n">
        <v>2</v>
      </c>
      <c r="C627" s="266" t="n"/>
      <c r="D627" s="218" t="n"/>
      <c r="E627" s="218" t="n"/>
      <c r="F627" s="218" t="n"/>
      <c r="G627" s="218" t="n"/>
      <c r="H627" s="218" t="n"/>
      <c r="I627" s="219" t="n"/>
      <c r="J627" s="52" t="n"/>
      <c r="K627" s="267" t="n"/>
      <c r="L627" s="218" t="n"/>
      <c r="M627" s="218" t="n"/>
      <c r="N627" s="218" t="n"/>
      <c r="O627" s="220" t="n"/>
    </row>
    <row r="628" ht="34.5" customFormat="1" customHeight="1" s="45">
      <c r="B628" s="51" t="n">
        <v>3</v>
      </c>
      <c r="C628" s="264" t="n"/>
      <c r="D628" s="218" t="n"/>
      <c r="E628" s="218" t="n"/>
      <c r="F628" s="218" t="n"/>
      <c r="G628" s="218" t="n"/>
      <c r="H628" s="218" t="n"/>
      <c r="I628" s="219" t="n"/>
      <c r="J628" s="52" t="n"/>
      <c r="K628" s="268" t="n"/>
      <c r="L628" s="218" t="n"/>
      <c r="M628" s="218" t="n"/>
      <c r="N628" s="218" t="n"/>
      <c r="O628" s="220" t="n"/>
    </row>
    <row r="629" ht="19.95" customFormat="1" customHeight="1" s="45">
      <c r="B629" s="49" t="n"/>
      <c r="C629" s="262" t="inlineStr">
        <is>
          <t>İnce Yapı İşleri</t>
        </is>
      </c>
      <c r="D629" s="218" t="n"/>
      <c r="E629" s="218" t="n"/>
      <c r="F629" s="218" t="n"/>
      <c r="G629" s="218" t="n"/>
      <c r="H629" s="218" t="n"/>
      <c r="I629" s="219" t="n"/>
      <c r="J629" s="50" t="n"/>
      <c r="K629" s="263" t="n"/>
      <c r="L629" s="218" t="n"/>
      <c r="M629" s="218" t="n"/>
      <c r="N629" s="218" t="n"/>
      <c r="O629" s="220" t="n"/>
    </row>
    <row r="630" ht="35.4" customFormat="1" customHeight="1" s="45">
      <c r="B630" s="51" t="n">
        <v>1</v>
      </c>
      <c r="C630" s="264" t="n"/>
      <c r="D630" s="218" t="n"/>
      <c r="E630" s="218" t="n"/>
      <c r="F630" s="218" t="n"/>
      <c r="G630" s="218" t="n"/>
      <c r="H630" s="218" t="n"/>
      <c r="I630" s="219" t="n"/>
      <c r="J630" s="52" t="n"/>
      <c r="K630" s="268" t="n"/>
      <c r="L630" s="218" t="n"/>
      <c r="M630" s="218" t="n"/>
      <c r="N630" s="218" t="n"/>
      <c r="O630" s="220" t="n"/>
    </row>
    <row r="631" ht="35.4" customFormat="1" customHeight="1" s="45">
      <c r="B631" s="51" t="n">
        <v>2</v>
      </c>
      <c r="C631" s="264" t="n"/>
      <c r="D631" s="218" t="n"/>
      <c r="E631" s="218" t="n"/>
      <c r="F631" s="218" t="n"/>
      <c r="G631" s="218" t="n"/>
      <c r="H631" s="218" t="n"/>
      <c r="I631" s="219" t="n"/>
      <c r="J631" s="52" t="n"/>
      <c r="K631" s="268" t="n"/>
      <c r="L631" s="218" t="n"/>
      <c r="M631" s="218" t="n"/>
      <c r="N631" s="218" t="n"/>
      <c r="O631" s="220" t="n"/>
    </row>
    <row r="632" ht="35.4" customFormat="1" customHeight="1" s="45">
      <c r="B632" s="51" t="n">
        <v>3</v>
      </c>
      <c r="C632" s="264" t="n"/>
      <c r="D632" s="218" t="n"/>
      <c r="E632" s="218" t="n"/>
      <c r="F632" s="218" t="n"/>
      <c r="G632" s="218" t="n"/>
      <c r="H632" s="218" t="n"/>
      <c r="I632" s="219" t="n"/>
      <c r="J632" s="52" t="n"/>
      <c r="K632" s="268" t="n"/>
      <c r="L632" s="218" t="n"/>
      <c r="M632" s="218" t="n"/>
      <c r="N632" s="218" t="n"/>
      <c r="O632" s="220" t="n"/>
    </row>
    <row r="633" ht="19.95" customFormat="1" customHeight="1" s="45">
      <c r="B633" s="49" t="n"/>
      <c r="C633" s="262" t="inlineStr">
        <is>
          <t>Altyapı İşleri</t>
        </is>
      </c>
      <c r="D633" s="218" t="n"/>
      <c r="E633" s="218" t="n"/>
      <c r="F633" s="218" t="n"/>
      <c r="G633" s="218" t="n"/>
      <c r="H633" s="218" t="n"/>
      <c r="I633" s="219" t="n"/>
      <c r="J633" s="50" t="n"/>
      <c r="K633" s="263" t="n"/>
      <c r="L633" s="218" t="n"/>
      <c r="M633" s="218" t="n"/>
      <c r="N633" s="218" t="n"/>
      <c r="O633" s="220" t="n"/>
    </row>
    <row r="634" ht="35.4" customFormat="1" customHeight="1" s="45">
      <c r="B634" s="51" t="n">
        <v>1</v>
      </c>
      <c r="C634" s="264" t="n"/>
      <c r="D634" s="218" t="n"/>
      <c r="E634" s="218" t="n"/>
      <c r="F634" s="218" t="n"/>
      <c r="G634" s="218" t="n"/>
      <c r="H634" s="218" t="n"/>
      <c r="I634" s="219" t="n"/>
      <c r="J634" s="52" t="n"/>
      <c r="K634" s="268" t="n"/>
      <c r="L634" s="218" t="n"/>
      <c r="M634" s="218" t="n"/>
      <c r="N634" s="218" t="n"/>
      <c r="O634" s="220" t="n"/>
    </row>
    <row r="635" ht="35.4" customFormat="1" customHeight="1" s="45">
      <c r="B635" s="51" t="n">
        <v>2</v>
      </c>
      <c r="C635" s="264" t="n"/>
      <c r="D635" s="218" t="n"/>
      <c r="E635" s="218" t="n"/>
      <c r="F635" s="218" t="n"/>
      <c r="G635" s="218" t="n"/>
      <c r="H635" s="218" t="n"/>
      <c r="I635" s="219" t="n"/>
      <c r="J635" s="52" t="n"/>
      <c r="K635" s="268" t="n"/>
      <c r="L635" s="218" t="n"/>
      <c r="M635" s="218" t="n"/>
      <c r="N635" s="218" t="n"/>
      <c r="O635" s="220" t="n"/>
    </row>
    <row r="636" ht="35.4" customFormat="1" customHeight="1" s="45">
      <c r="B636" s="51" t="n">
        <v>3</v>
      </c>
      <c r="C636" s="264" t="n"/>
      <c r="D636" s="218" t="n"/>
      <c r="E636" s="218" t="n"/>
      <c r="F636" s="218" t="n"/>
      <c r="G636" s="218" t="n"/>
      <c r="H636" s="218" t="n"/>
      <c r="I636" s="219" t="n"/>
      <c r="J636" s="52" t="n"/>
      <c r="K636" s="268" t="n"/>
      <c r="L636" s="218" t="n"/>
      <c r="M636" s="218" t="n"/>
      <c r="N636" s="218" t="n"/>
      <c r="O636" s="220" t="n"/>
    </row>
    <row r="637" ht="19.95" customFormat="1" customHeight="1" s="45">
      <c r="B637" s="49" t="n"/>
      <c r="C637" s="262" t="inlineStr">
        <is>
          <t>Mekanik İşleri</t>
        </is>
      </c>
      <c r="D637" s="218" t="n"/>
      <c r="E637" s="218" t="n"/>
      <c r="F637" s="218" t="n"/>
      <c r="G637" s="218" t="n"/>
      <c r="H637" s="218" t="n"/>
      <c r="I637" s="219" t="n"/>
      <c r="J637" s="50" t="n"/>
      <c r="K637" s="263" t="n"/>
      <c r="L637" s="218" t="n"/>
      <c r="M637" s="218" t="n"/>
      <c r="N637" s="218" t="n"/>
      <c r="O637" s="220" t="n"/>
    </row>
    <row r="638" ht="35.4" customFormat="1" customHeight="1" s="45">
      <c r="B638" s="51" t="n">
        <v>1</v>
      </c>
      <c r="C638" s="264" t="n"/>
      <c r="D638" s="218" t="n"/>
      <c r="E638" s="218" t="n"/>
      <c r="F638" s="218" t="n"/>
      <c r="G638" s="218" t="n"/>
      <c r="H638" s="218" t="n"/>
      <c r="I638" s="219" t="n"/>
      <c r="J638" s="52" t="n"/>
      <c r="K638" s="268" t="n"/>
      <c r="L638" s="218" t="n"/>
      <c r="M638" s="218" t="n"/>
      <c r="N638" s="218" t="n"/>
      <c r="O638" s="220" t="n"/>
    </row>
    <row r="639" ht="35.4" customFormat="1" customHeight="1" s="45">
      <c r="B639" s="51" t="n">
        <v>2</v>
      </c>
      <c r="C639" s="264" t="n"/>
      <c r="D639" s="218" t="n"/>
      <c r="E639" s="218" t="n"/>
      <c r="F639" s="218" t="n"/>
      <c r="G639" s="218" t="n"/>
      <c r="H639" s="218" t="n"/>
      <c r="I639" s="219" t="n"/>
      <c r="J639" s="52" t="n"/>
      <c r="K639" s="268" t="n"/>
      <c r="L639" s="218" t="n"/>
      <c r="M639" s="218" t="n"/>
      <c r="N639" s="218" t="n"/>
      <c r="O639" s="220" t="n"/>
    </row>
    <row r="640" ht="35.4" customFormat="1" customHeight="1" s="45">
      <c r="B640" s="51" t="n">
        <v>3</v>
      </c>
      <c r="C640" s="264" t="n"/>
      <c r="D640" s="218" t="n"/>
      <c r="E640" s="218" t="n"/>
      <c r="F640" s="218" t="n"/>
      <c r="G640" s="218" t="n"/>
      <c r="H640" s="218" t="n"/>
      <c r="I640" s="219" t="n"/>
      <c r="J640" s="52" t="n"/>
      <c r="K640" s="268" t="n"/>
      <c r="L640" s="218" t="n"/>
      <c r="M640" s="218" t="n"/>
      <c r="N640" s="218" t="n"/>
      <c r="O640" s="220" t="n"/>
    </row>
    <row r="641" ht="19.95" customFormat="1" customHeight="1" s="45">
      <c r="B641" s="49" t="n"/>
      <c r="C641" s="262" t="inlineStr">
        <is>
          <t>Elektrik İşleri</t>
        </is>
      </c>
      <c r="D641" s="218" t="n"/>
      <c r="E641" s="218" t="n"/>
      <c r="F641" s="218" t="n"/>
      <c r="G641" s="218" t="n"/>
      <c r="H641" s="218" t="n"/>
      <c r="I641" s="219" t="n"/>
      <c r="J641" s="50" t="n"/>
      <c r="K641" s="263" t="n"/>
      <c r="L641" s="218" t="n"/>
      <c r="M641" s="218" t="n"/>
      <c r="N641" s="218" t="n"/>
      <c r="O641" s="220" t="n"/>
    </row>
    <row r="642" ht="35.4" customFormat="1" customHeight="1" s="45">
      <c r="B642" s="51" t="n">
        <v>1</v>
      </c>
      <c r="C642" s="264" t="n"/>
      <c r="D642" s="218" t="n"/>
      <c r="E642" s="218" t="n"/>
      <c r="F642" s="218" t="n"/>
      <c r="G642" s="218" t="n"/>
      <c r="H642" s="218" t="n"/>
      <c r="I642" s="219" t="n"/>
      <c r="J642" s="52" t="n"/>
      <c r="K642" s="268" t="n"/>
      <c r="L642" s="218" t="n"/>
      <c r="M642" s="218" t="n"/>
      <c r="N642" s="218" t="n"/>
      <c r="O642" s="220" t="n"/>
    </row>
    <row r="643" ht="35.4" customFormat="1" customHeight="1" s="45">
      <c r="B643" s="51" t="n">
        <v>2</v>
      </c>
      <c r="C643" s="264" t="n"/>
      <c r="D643" s="218" t="n"/>
      <c r="E643" s="218" t="n"/>
      <c r="F643" s="218" t="n"/>
      <c r="G643" s="218" t="n"/>
      <c r="H643" s="218" t="n"/>
      <c r="I643" s="219" t="n"/>
      <c r="J643" s="52" t="n"/>
      <c r="K643" s="268" t="n"/>
      <c r="L643" s="218" t="n"/>
      <c r="M643" s="218" t="n"/>
      <c r="N643" s="218" t="n"/>
      <c r="O643" s="220" t="n"/>
    </row>
    <row r="644" ht="19.95" customFormat="1" customHeight="1" s="45">
      <c r="B644" s="49" t="n"/>
      <c r="C644" s="262" t="inlineStr">
        <is>
          <t>İSG</t>
        </is>
      </c>
      <c r="D644" s="218" t="n"/>
      <c r="E644" s="218" t="n"/>
      <c r="F644" s="218" t="n"/>
      <c r="G644" s="218" t="n"/>
      <c r="H644" s="218" t="n"/>
      <c r="I644" s="219" t="n"/>
      <c r="J644" s="50" t="n"/>
      <c r="K644" s="263" t="n"/>
      <c r="L644" s="218" t="n"/>
      <c r="M644" s="218" t="n"/>
      <c r="N644" s="218" t="n"/>
      <c r="O644" s="220" t="n"/>
    </row>
    <row r="645" ht="35.4" customFormat="1" customHeight="1" s="45">
      <c r="B645" s="51" t="n">
        <v>1</v>
      </c>
      <c r="C645" s="264" t="n"/>
      <c r="D645" s="218" t="n"/>
      <c r="E645" s="218" t="n"/>
      <c r="F645" s="218" t="n"/>
      <c r="G645" s="218" t="n"/>
      <c r="H645" s="218" t="n"/>
      <c r="I645" s="219" t="n"/>
      <c r="J645" s="52" t="n"/>
      <c r="K645" s="268" t="n"/>
      <c r="L645" s="218" t="n"/>
      <c r="M645" s="218" t="n"/>
      <c r="N645" s="218" t="n"/>
      <c r="O645" s="220" t="n"/>
    </row>
    <row r="646" ht="35.4" customFormat="1" customHeight="1" s="45">
      <c r="B646" s="51" t="n">
        <v>2</v>
      </c>
      <c r="C646" s="264" t="n"/>
      <c r="D646" s="218" t="n"/>
      <c r="E646" s="218" t="n"/>
      <c r="F646" s="218" t="n"/>
      <c r="G646" s="218" t="n"/>
      <c r="H646" s="218" t="n"/>
      <c r="I646" s="219" t="n"/>
      <c r="J646" s="52" t="n"/>
      <c r="K646" s="268" t="n"/>
      <c r="L646" s="218" t="n"/>
      <c r="M646" s="218" t="n"/>
      <c r="N646" s="218" t="n"/>
      <c r="O646" s="220" t="n"/>
    </row>
    <row r="647" ht="36" customFormat="1" customHeight="1" s="45">
      <c r="B647" s="51" t="n">
        <v>3</v>
      </c>
      <c r="C647" s="264" t="n"/>
      <c r="D647" s="218" t="n"/>
      <c r="E647" s="218" t="n"/>
      <c r="F647" s="218" t="n"/>
      <c r="G647" s="218" t="n"/>
      <c r="H647" s="218" t="n"/>
      <c r="I647" s="219" t="n"/>
      <c r="J647" s="52" t="n"/>
      <c r="K647" s="268" t="n"/>
      <c r="L647" s="218" t="n"/>
      <c r="M647" s="218" t="n"/>
      <c r="N647" s="218" t="n"/>
      <c r="O647" s="220" t="n"/>
    </row>
    <row r="648" ht="19.95" customFormat="1" customHeight="1" s="45">
      <c r="B648" s="49" t="n"/>
      <c r="C648" s="262" t="inlineStr">
        <is>
          <t>Teknik Ofis İşleri</t>
        </is>
      </c>
      <c r="D648" s="218" t="n"/>
      <c r="E648" s="218" t="n"/>
      <c r="F648" s="218" t="n"/>
      <c r="G648" s="218" t="n"/>
      <c r="H648" s="218" t="n"/>
      <c r="I648" s="219" t="n"/>
      <c r="J648" s="50" t="n"/>
      <c r="K648" s="263" t="n"/>
      <c r="L648" s="218" t="n"/>
      <c r="M648" s="218" t="n"/>
      <c r="N648" s="218" t="n"/>
      <c r="O648" s="220" t="n"/>
    </row>
    <row r="649" ht="35.25" customFormat="1" customHeight="1" s="45">
      <c r="B649" s="51" t="n">
        <v>1</v>
      </c>
      <c r="C649" s="264" t="n"/>
      <c r="D649" s="218" t="n"/>
      <c r="E649" s="218" t="n"/>
      <c r="F649" s="218" t="n"/>
      <c r="G649" s="218" t="n"/>
      <c r="H649" s="218" t="n"/>
      <c r="I649" s="219" t="n"/>
      <c r="J649" s="52" t="n"/>
      <c r="K649" s="268" t="n"/>
      <c r="L649" s="218" t="n"/>
      <c r="M649" s="218" t="n"/>
      <c r="N649" s="218" t="n"/>
      <c r="O649" s="220" t="n"/>
    </row>
    <row r="650" ht="35.25" customFormat="1" customHeight="1" s="45">
      <c r="B650" s="51" t="n">
        <v>2</v>
      </c>
      <c r="C650" s="264" t="n"/>
      <c r="D650" s="218" t="n"/>
      <c r="E650" s="218" t="n"/>
      <c r="F650" s="218" t="n"/>
      <c r="G650" s="218" t="n"/>
      <c r="H650" s="218" t="n"/>
      <c r="I650" s="219" t="n"/>
      <c r="J650" s="52" t="n"/>
      <c r="K650" s="267" t="n"/>
      <c r="L650" s="218" t="n"/>
      <c r="M650" s="218" t="n"/>
      <c r="N650" s="218" t="n"/>
      <c r="O650" s="220" t="n"/>
    </row>
    <row r="651" ht="35.25" customFormat="1" customHeight="1" s="45" thickBot="1">
      <c r="B651" s="51" t="n">
        <v>3</v>
      </c>
      <c r="C651" s="269" t="n"/>
      <c r="D651" s="218" t="n"/>
      <c r="E651" s="218" t="n"/>
      <c r="F651" s="218" t="n"/>
      <c r="G651" s="218" t="n"/>
      <c r="H651" s="218" t="n"/>
      <c r="I651" s="219" t="n"/>
      <c r="J651" s="52" t="n"/>
      <c r="K651" s="267" t="n"/>
      <c r="L651" s="218" t="n"/>
      <c r="M651" s="218" t="n"/>
      <c r="N651" s="218" t="n"/>
      <c r="O651" s="220" t="n"/>
    </row>
    <row r="652" ht="18.75" customHeight="1">
      <c r="B652" s="270" t="inlineStr">
        <is>
          <t>İMZA</t>
        </is>
      </c>
      <c r="C652" s="74" t="inlineStr">
        <is>
          <t>SİGMA MÜHENDİSLİK HİZMETLERİ DEKORASYON İNŞAAT LTD. ŞTİ.</t>
        </is>
      </c>
      <c r="D652" s="214" t="n"/>
      <c r="E652" s="214" t="n"/>
      <c r="F652" s="214" t="n"/>
      <c r="G652" s="214" t="n"/>
      <c r="H652" s="214" t="n"/>
      <c r="I652" s="215" t="n"/>
      <c r="J652" s="76" t="inlineStr">
        <is>
          <t>ANA YÜKLENİCİ</t>
        </is>
      </c>
      <c r="K652" s="214" t="n"/>
      <c r="L652" s="214" t="n"/>
      <c r="M652" s="214" t="n"/>
      <c r="N652" s="214" t="n"/>
      <c r="O652" s="216" t="n"/>
    </row>
    <row r="653" ht="18.75" customHeight="1">
      <c r="B653" s="271" t="n"/>
      <c r="C653" s="272" t="n"/>
      <c r="D653" s="218" t="n"/>
      <c r="E653" s="218" t="n"/>
      <c r="F653" s="218" t="n"/>
      <c r="G653" s="218" t="n"/>
      <c r="H653" s="218" t="n"/>
      <c r="I653" s="219" t="n"/>
      <c r="J653" s="56" t="n"/>
      <c r="K653" s="56" t="n"/>
      <c r="L653" s="56" t="n"/>
      <c r="M653" s="56" t="n"/>
      <c r="N653" s="56" t="n"/>
      <c r="O653" s="57" t="n"/>
    </row>
    <row r="654" ht="14.25" customHeight="1">
      <c r="B654" s="271" t="n"/>
      <c r="C654" s="80" t="n"/>
      <c r="D654" s="273" t="n"/>
      <c r="E654" s="273" t="n"/>
      <c r="F654" s="273" t="n"/>
      <c r="G654" s="273" t="n"/>
      <c r="H654" s="273" t="n"/>
      <c r="I654" s="274" t="n"/>
      <c r="J654" s="80" t="n"/>
      <c r="K654" s="273" t="n"/>
      <c r="L654" s="273" t="n"/>
      <c r="M654" s="273" t="n"/>
      <c r="N654" s="273" t="n"/>
      <c r="O654" s="274" t="n"/>
    </row>
    <row r="655" ht="14.25" customHeight="1">
      <c r="B655" s="271" t="n"/>
      <c r="C655" s="275" t="n"/>
      <c r="I655" s="276" t="n"/>
      <c r="J655" s="275" t="n"/>
      <c r="O655" s="276" t="n"/>
    </row>
    <row r="656" ht="14.25" customHeight="1" thickBot="1">
      <c r="B656" s="277" t="n"/>
      <c r="C656" s="278" t="n"/>
      <c r="D656" s="250" t="n"/>
      <c r="E656" s="250" t="n"/>
      <c r="F656" s="250" t="n"/>
      <c r="G656" s="250" t="n"/>
      <c r="H656" s="250" t="n"/>
      <c r="I656" s="240" t="n"/>
      <c r="J656" s="278" t="n"/>
      <c r="K656" s="250" t="n"/>
      <c r="L656" s="250" t="n"/>
      <c r="M656" s="250" t="n"/>
      <c r="N656" s="250" t="n"/>
      <c r="O656" s="240" t="n"/>
    </row>
    <row r="674" ht="10.8" customHeight="1" thickBot="1"/>
    <row r="675" ht="87" customHeight="1">
      <c r="B675" s="213" t="n"/>
      <c r="C675" s="214" t="n"/>
      <c r="D675" s="214" t="n"/>
      <c r="E675" s="215" t="n"/>
      <c r="F675" s="97" t="inlineStr">
        <is>
          <t>GÜNLÜK FAALİYET RAPORU
02780-BGC-SGM-XXX-XXX-DPR-IPY-100001</t>
        </is>
      </c>
      <c r="G675" s="214" t="n"/>
      <c r="H675" s="214" t="n"/>
      <c r="I675" s="214" t="n"/>
      <c r="J675" s="214" t="n"/>
      <c r="K675" s="215" t="n"/>
      <c r="L675" s="99" t="inlineStr">
        <is>
          <t>LOGO</t>
        </is>
      </c>
      <c r="M675" s="214" t="n"/>
      <c r="N675" s="214" t="n"/>
      <c r="O675" s="216" t="n"/>
      <c r="U675" s="2" t="n"/>
    </row>
    <row r="676" ht="37.5" customHeight="1">
      <c r="B676" s="217" t="inlineStr">
        <is>
          <t>İŞVEREN</t>
        </is>
      </c>
      <c r="C676" s="218" t="n"/>
      <c r="D676" s="218" t="n"/>
      <c r="E676" s="219" t="n"/>
      <c r="F676" s="198" t="inlineStr">
        <is>
          <t>ANA YÜKLENİCİ</t>
        </is>
      </c>
      <c r="G676" s="219" t="n"/>
      <c r="H676" s="199" t="n"/>
      <c r="I676" s="219" t="n"/>
      <c r="J676" s="200" t="inlineStr">
        <is>
          <t>TARİH</t>
        </is>
      </c>
      <c r="K676" s="218" t="n"/>
      <c r="L676" s="219" t="n"/>
      <c r="M676" s="203" t="inlineStr">
        <is>
          <t>XX.0X.2026</t>
        </is>
      </c>
      <c r="N676" s="218" t="n"/>
      <c r="O676" s="220" t="n"/>
    </row>
    <row r="677" ht="30.75" customHeight="1">
      <c r="B677" s="204" t="inlineStr">
        <is>
          <t>Halk Gayrimenkul Yatırım Ortaklığı A.Ş.</t>
        </is>
      </c>
      <c r="C677" s="218" t="n"/>
      <c r="D677" s="218" t="n"/>
      <c r="E677" s="219" t="n"/>
      <c r="F677" s="205" t="inlineStr">
        <is>
          <t>-</t>
        </is>
      </c>
      <c r="G677" s="219" t="n"/>
      <c r="H677" s="207" t="n"/>
      <c r="I677" s="219" t="n"/>
      <c r="J677" s="201" t="inlineStr">
        <is>
          <t>HAVA DURUMU</t>
        </is>
      </c>
      <c r="K677" s="218" t="n"/>
      <c r="L677" s="219" t="n"/>
      <c r="M677" s="221" t="inlineStr">
        <is>
          <t>Açık / 25°C</t>
        </is>
      </c>
      <c r="N677" s="218" t="n"/>
      <c r="O677" s="220" t="n"/>
    </row>
    <row r="678" ht="34.5" customHeight="1" thickBot="1">
      <c r="B678" s="170" t="inlineStr">
        <is>
          <t>HALK GYO ASM BAĞCILAR PROJESİ</t>
        </is>
      </c>
      <c r="C678" s="222" t="n"/>
      <c r="D678" s="222" t="n"/>
      <c r="E678" s="222" t="n"/>
      <c r="F678" s="222" t="n"/>
      <c r="G678" s="222" t="n"/>
      <c r="H678" s="222" t="n"/>
      <c r="I678" s="223" t="n"/>
      <c r="J678" s="224" t="inlineStr">
        <is>
          <t>İŞ BİTİM TARİHİ</t>
        </is>
      </c>
      <c r="K678" s="222" t="n"/>
      <c r="L678" s="223" t="n"/>
      <c r="M678" s="225" t="n"/>
      <c r="N678" s="222" t="n"/>
      <c r="O678" s="226" t="n"/>
    </row>
    <row r="679" ht="17.25" customHeight="1">
      <c r="B679" s="227" t="inlineStr">
        <is>
          <t>İŞVEREN / PROJE YÖNETİMİ</t>
        </is>
      </c>
      <c r="C679" s="228" t="n"/>
      <c r="D679" s="228" t="n"/>
      <c r="E679" s="229" t="n"/>
      <c r="F679" s="230" t="inlineStr">
        <is>
          <t>Kümülatif</t>
        </is>
      </c>
      <c r="G679" s="231" t="inlineStr">
        <is>
          <t>YÜKLENİCİ FİRMA
Teknik Kadro Dahil</t>
        </is>
      </c>
      <c r="H679" s="228" t="n"/>
      <c r="I679" s="228" t="n"/>
      <c r="J679" s="232" t="inlineStr">
        <is>
          <t>Kümülatif</t>
        </is>
      </c>
      <c r="K679" s="187" t="inlineStr">
        <is>
          <t>İŞ MAKİNALARI</t>
        </is>
      </c>
      <c r="L679" s="229" t="n"/>
      <c r="M679" s="191" t="inlineStr">
        <is>
          <t>Giriş Tarihi</t>
        </is>
      </c>
      <c r="N679" s="191" t="inlineStr">
        <is>
          <t>Çıkış Tarihi</t>
        </is>
      </c>
      <c r="O679" s="233" t="inlineStr">
        <is>
          <t>Puantaj (Saat)</t>
        </is>
      </c>
    </row>
    <row r="680" ht="17.25" customHeight="1" thickBot="1">
      <c r="B680" s="234" t="n"/>
      <c r="C680" s="235" t="n"/>
      <c r="D680" s="235" t="n"/>
      <c r="E680" s="236" t="n"/>
      <c r="F680" s="237" t="n"/>
      <c r="G680" s="234" t="n"/>
      <c r="H680" s="235" t="n"/>
      <c r="I680" s="235" t="n"/>
      <c r="J680" s="238" t="n"/>
      <c r="K680" s="239" t="n"/>
      <c r="L680" s="240" t="n"/>
      <c r="M680" s="241" t="n"/>
      <c r="N680" s="241" t="n"/>
      <c r="O680" s="237" t="n"/>
    </row>
    <row r="681" ht="22.5" customHeight="1">
      <c r="B681" s="242" t="inlineStr">
        <is>
          <t>Proje Müdürü Saha-PY</t>
        </is>
      </c>
      <c r="C681" s="240" t="n"/>
      <c r="D681" s="3" t="n">
        <v>0</v>
      </c>
      <c r="E681" s="4" t="n"/>
      <c r="F681" s="5">
        <f>D681</f>
        <v/>
      </c>
      <c r="G681" s="6" t="inlineStr">
        <is>
          <t>Şantiye Şefi-Mukas</t>
        </is>
      </c>
      <c r="H681" s="7" t="n">
        <v>0</v>
      </c>
      <c r="I681" s="8" t="n"/>
      <c r="J681" s="5">
        <f>H681</f>
        <v/>
      </c>
      <c r="K681" s="162" t="inlineStr">
        <is>
          <t>JCB</t>
        </is>
      </c>
      <c r="L681" s="219" t="n"/>
      <c r="M681" s="9" t="n"/>
      <c r="N681" s="9" t="n"/>
      <c r="O681" s="10" t="n">
        <v>0</v>
      </c>
    </row>
    <row r="682" ht="26.25" customHeight="1">
      <c r="B682" s="242" t="inlineStr">
        <is>
          <t>Proje Müdürü Merkez-PY</t>
        </is>
      </c>
      <c r="C682" s="240" t="n"/>
      <c r="D682" s="3" t="n">
        <v>0</v>
      </c>
      <c r="E682" s="11" t="n"/>
      <c r="F682" s="5">
        <f>D682</f>
        <v/>
      </c>
      <c r="G682" s="6" t="inlineStr">
        <is>
          <t>İnşaat Mühendisi</t>
        </is>
      </c>
      <c r="H682" s="7" t="n">
        <v>0</v>
      </c>
      <c r="I682" s="12" t="n"/>
      <c r="J682" s="5">
        <f>H682</f>
        <v/>
      </c>
      <c r="K682" s="162" t="inlineStr">
        <is>
          <t>Fore Kazık Makinası</t>
        </is>
      </c>
      <c r="L682" s="219" t="n"/>
      <c r="M682" s="9" t="n"/>
      <c r="N682" s="9" t="n"/>
      <c r="O682" s="10" t="n">
        <v>0</v>
      </c>
    </row>
    <row r="683" ht="24.75" customHeight="1">
      <c r="B683" s="6" t="inlineStr">
        <is>
          <t>Proje Koordinatörü-PY</t>
        </is>
      </c>
      <c r="C683" s="219" t="n"/>
      <c r="D683" s="3" t="n">
        <v>0</v>
      </c>
      <c r="E683" s="11" t="n"/>
      <c r="F683" s="5">
        <f>D683</f>
        <v/>
      </c>
      <c r="G683" s="6" t="inlineStr">
        <is>
          <t>Elektrik Mühendisi</t>
        </is>
      </c>
      <c r="H683" s="7" t="n">
        <v>0</v>
      </c>
      <c r="I683" s="12" t="n"/>
      <c r="J683" s="5">
        <f>H683</f>
        <v/>
      </c>
      <c r="K683" s="162" t="inlineStr">
        <is>
          <t>Beton Pompası</t>
        </is>
      </c>
      <c r="L683" s="219" t="n"/>
      <c r="M683" s="9" t="n"/>
      <c r="N683" s="9" t="n"/>
      <c r="O683" s="10" t="n">
        <v>0</v>
      </c>
    </row>
    <row r="684" ht="23.25" customHeight="1">
      <c r="B684" s="162" t="inlineStr">
        <is>
          <t>Proje Müdürü Mimar-PY</t>
        </is>
      </c>
      <c r="C684" s="219" t="n"/>
      <c r="D684" s="3" t="n">
        <v>0</v>
      </c>
      <c r="E684" s="11" t="n"/>
      <c r="F684" s="5">
        <f>D684</f>
        <v/>
      </c>
      <c r="G684" s="6" t="inlineStr">
        <is>
          <t>Makine Mühendisi</t>
        </is>
      </c>
      <c r="H684" s="7" t="n">
        <v>0</v>
      </c>
      <c r="I684" s="12" t="n"/>
      <c r="J684" s="5">
        <f>H684</f>
        <v/>
      </c>
      <c r="K684" s="162" t="inlineStr">
        <is>
          <t>Ekskavatör</t>
        </is>
      </c>
      <c r="L684" s="219" t="n"/>
      <c r="M684" s="9" t="n"/>
      <c r="N684" s="9" t="n"/>
      <c r="O684" s="10" t="n">
        <v>0</v>
      </c>
    </row>
    <row r="685" ht="26.25" customHeight="1">
      <c r="B685" s="162" t="inlineStr">
        <is>
          <t>Proje Elektrik Yüksek Mühendisi-PY</t>
        </is>
      </c>
      <c r="C685" s="219" t="n"/>
      <c r="D685" s="3" t="n">
        <v>0</v>
      </c>
      <c r="E685" s="11" t="n"/>
      <c r="F685" s="5">
        <f>D685</f>
        <v/>
      </c>
      <c r="G685" s="6" t="inlineStr">
        <is>
          <t>Formen</t>
        </is>
      </c>
      <c r="H685" s="7" t="n">
        <v>0</v>
      </c>
      <c r="I685" s="12" t="n"/>
      <c r="J685" s="5">
        <f>H685</f>
        <v/>
      </c>
      <c r="K685" s="162" t="inlineStr">
        <is>
          <t>Kamyon</t>
        </is>
      </c>
      <c r="L685" s="219" t="n"/>
      <c r="M685" s="9" t="n"/>
      <c r="N685" s="9" t="n"/>
      <c r="O685" s="10" t="n">
        <v>0</v>
      </c>
    </row>
    <row r="686" ht="26.25" customHeight="1">
      <c r="B686" s="162" t="inlineStr">
        <is>
          <t>Proje Müdürü Makine Mühendisi-PY</t>
        </is>
      </c>
      <c r="C686" s="219" t="n"/>
      <c r="D686" s="3" t="n">
        <v>0</v>
      </c>
      <c r="E686" s="11" t="n"/>
      <c r="F686" s="5">
        <f>D686</f>
        <v/>
      </c>
      <c r="G686" s="6" t="inlineStr">
        <is>
          <t>İş Güvenliği Uzmanı</t>
        </is>
      </c>
      <c r="H686" s="7" t="n">
        <v>0</v>
      </c>
      <c r="I686" s="12" t="n"/>
      <c r="J686" s="5">
        <f>H686</f>
        <v/>
      </c>
      <c r="K686" s="162" t="inlineStr">
        <is>
          <t>Kırıcılı Ekskavatör</t>
        </is>
      </c>
      <c r="L686" s="219" t="n"/>
      <c r="M686" s="9" t="n"/>
      <c r="N686" s="9" t="n"/>
      <c r="O686" s="10" t="n">
        <v>0</v>
      </c>
    </row>
    <row r="687" ht="26.25" customHeight="1">
      <c r="B687" s="162" t="n"/>
      <c r="C687" s="219" t="n"/>
      <c r="D687" s="3" t="n"/>
      <c r="E687" s="11" t="n"/>
      <c r="F687" s="5" t="n"/>
      <c r="G687" s="6" t="inlineStr">
        <is>
          <t>Saha İşçisi</t>
        </is>
      </c>
      <c r="H687" s="7" t="n">
        <v>0</v>
      </c>
      <c r="I687" s="12" t="n"/>
      <c r="J687" s="5">
        <f>H687</f>
        <v/>
      </c>
      <c r="K687" s="162" t="inlineStr">
        <is>
          <t>Vinç</t>
        </is>
      </c>
      <c r="L687" s="219" t="n"/>
      <c r="M687" s="9" t="n"/>
      <c r="N687" s="9" t="n"/>
      <c r="O687" s="10" t="n">
        <v>0</v>
      </c>
    </row>
    <row r="688" ht="26.25" customHeight="1">
      <c r="B688" s="162" t="n"/>
      <c r="C688" s="219" t="n"/>
      <c r="D688" s="3" t="n"/>
      <c r="E688" s="11" t="n"/>
      <c r="F688" s="5" t="n"/>
      <c r="G688" s="6" t="inlineStr">
        <is>
          <t>Topoğraf</t>
        </is>
      </c>
      <c r="H688" s="7" t="n">
        <v>0</v>
      </c>
      <c r="I688" s="12" t="n"/>
      <c r="J688" s="5">
        <f>H688</f>
        <v/>
      </c>
      <c r="K688" s="162" t="inlineStr">
        <is>
          <t>Silindir</t>
        </is>
      </c>
      <c r="L688" s="219" t="n"/>
      <c r="M688" s="9" t="n"/>
      <c r="N688" s="9" t="n"/>
      <c r="O688" s="10" t="n">
        <v>0</v>
      </c>
    </row>
    <row r="689" ht="26.25" customHeight="1">
      <c r="B689" s="162" t="n"/>
      <c r="C689" s="219" t="n"/>
      <c r="D689" s="3" t="n"/>
      <c r="E689" s="11" t="n"/>
      <c r="F689" s="5" t="n"/>
      <c r="G689" s="6" t="n"/>
      <c r="H689" s="7" t="n"/>
      <c r="I689" s="12" t="n"/>
      <c r="J689" s="13" t="n"/>
      <c r="K689" s="162" t="n"/>
      <c r="L689" s="219" t="n"/>
      <c r="M689" s="9" t="n"/>
      <c r="N689" s="9" t="n"/>
      <c r="O689" s="10" t="n"/>
    </row>
    <row r="690" ht="26.25" customHeight="1">
      <c r="B690" s="243" t="n"/>
      <c r="C690" s="219" t="n"/>
      <c r="D690" s="14" t="n"/>
      <c r="E690" s="11" t="n"/>
      <c r="F690" s="5" t="n"/>
      <c r="G690" s="6" t="n"/>
      <c r="H690" s="15" t="n"/>
      <c r="I690" s="12" t="n"/>
      <c r="J690" s="13" t="n"/>
      <c r="K690" s="244" t="inlineStr">
        <is>
          <t xml:space="preserve"> Toplam</t>
        </is>
      </c>
      <c r="L690" s="218" t="n"/>
      <c r="M690" s="218" t="n"/>
      <c r="N690" s="219" t="n"/>
      <c r="O690" s="16">
        <f>SUM(O681:O689)</f>
        <v/>
      </c>
    </row>
    <row r="691" ht="26.25" customHeight="1">
      <c r="B691" s="243" t="n"/>
      <c r="C691" s="219" t="n"/>
      <c r="D691" s="14" t="n"/>
      <c r="E691" s="11" t="n"/>
      <c r="F691" s="5" t="n"/>
      <c r="G691" s="6" t="n"/>
      <c r="H691" s="15" t="n"/>
      <c r="I691" s="12" t="n"/>
      <c r="J691" s="13" t="n"/>
      <c r="K691" s="245" t="inlineStr">
        <is>
          <t>GÜNLÜK GELEN MALZEME LİSTESİ</t>
        </is>
      </c>
      <c r="L691" s="218" t="n"/>
      <c r="M691" s="218" t="n"/>
      <c r="N691" s="218" t="n"/>
      <c r="O691" s="220" t="n"/>
    </row>
    <row r="692" ht="26.25" customHeight="1">
      <c r="A692" s="1" t="inlineStr">
        <is>
          <t xml:space="preserve"> </t>
        </is>
      </c>
      <c r="B692" s="243" t="n"/>
      <c r="C692" s="219" t="n"/>
      <c r="D692" s="3" t="n"/>
      <c r="E692" s="17" t="n"/>
      <c r="F692" s="5" t="n"/>
      <c r="G692" s="6" t="n"/>
      <c r="H692" s="15" t="n"/>
      <c r="I692" s="18" t="n"/>
      <c r="J692" s="13" t="n"/>
      <c r="K692" s="246" t="n"/>
      <c r="L692" s="218" t="n"/>
      <c r="M692" s="219" t="n"/>
      <c r="N692" s="16" t="n"/>
      <c r="O692" s="220" t="n"/>
    </row>
    <row r="693" ht="26.25" customHeight="1">
      <c r="B693" s="243" t="n"/>
      <c r="C693" s="219" t="n"/>
      <c r="D693" s="3" t="n"/>
      <c r="E693" s="17" t="n"/>
      <c r="F693" s="5" t="n"/>
      <c r="G693" s="6" t="n"/>
      <c r="H693" s="15" t="n"/>
      <c r="I693" s="18" t="n"/>
      <c r="J693" s="13" t="n"/>
      <c r="K693" s="246" t="n"/>
      <c r="L693" s="218" t="n"/>
      <c r="M693" s="219" t="n"/>
      <c r="N693" s="16" t="n"/>
      <c r="O693" s="220" t="n"/>
    </row>
    <row r="694" ht="26.25" customHeight="1">
      <c r="B694" s="21" t="n"/>
      <c r="C694" s="219" t="n"/>
      <c r="D694" s="19" t="n"/>
      <c r="E694" s="20" t="n"/>
      <c r="F694" s="5" t="n"/>
      <c r="G694" s="21" t="n"/>
      <c r="H694" s="22" t="n"/>
      <c r="I694" s="23" t="n"/>
      <c r="J694" s="13" t="n"/>
      <c r="K694" s="246" t="n"/>
      <c r="L694" s="218" t="n"/>
      <c r="M694" s="219" t="n"/>
      <c r="N694" s="247" t="n"/>
      <c r="O694" s="220" t="n"/>
    </row>
    <row r="695" ht="27" customHeight="1">
      <c r="B695" s="27" t="inlineStr">
        <is>
          <t>Toplam</t>
        </is>
      </c>
      <c r="C695" s="219" t="n"/>
      <c r="D695" s="24">
        <f>SUM(D681:D694)</f>
        <v/>
      </c>
      <c r="E695" s="25" t="inlineStr">
        <is>
          <t>G. Toplam</t>
        </is>
      </c>
      <c r="F695" s="58">
        <f>SUM(F681:F694)</f>
        <v/>
      </c>
      <c r="G695" s="27" t="inlineStr">
        <is>
          <t>Toplam</t>
        </is>
      </c>
      <c r="H695" s="28">
        <f>SUM(H681:H694)</f>
        <v/>
      </c>
      <c r="I695" s="29" t="inlineStr">
        <is>
          <t>G. Toplam</t>
        </is>
      </c>
      <c r="J695" s="26">
        <f>SUM(J681:J694)</f>
        <v/>
      </c>
      <c r="K695" s="246" t="n"/>
      <c r="L695" s="218" t="n"/>
      <c r="M695" s="219" t="n"/>
      <c r="N695" s="247" t="n"/>
      <c r="O695" s="220" t="n"/>
    </row>
    <row r="696" ht="27" customHeight="1" thickBot="1">
      <c r="B696" s="143" t="inlineStr">
        <is>
          <t>GENEL TOPLAM</t>
        </is>
      </c>
      <c r="C696" s="222" t="n"/>
      <c r="D696" s="222" t="n"/>
      <c r="E696" s="222" t="n"/>
      <c r="F696" s="222" t="n"/>
      <c r="G696" s="222" t="n"/>
      <c r="H696" s="222" t="n"/>
      <c r="I696" s="222" t="n"/>
      <c r="J696" s="30">
        <f>F695+J695</f>
        <v/>
      </c>
      <c r="K696" s="246" t="n"/>
      <c r="L696" s="218" t="n"/>
      <c r="M696" s="219" t="n"/>
      <c r="N696" s="247" t="n"/>
      <c r="O696" s="220" t="n"/>
    </row>
    <row r="697" ht="12.6" customHeight="1">
      <c r="B697" s="248" t="inlineStr">
        <is>
          <t>ALTYÜKLENİCİ EKİPLERİ PUANTAJI</t>
        </is>
      </c>
      <c r="C697" s="228" t="n"/>
      <c r="D697" s="228" t="n"/>
      <c r="E697" s="228" t="n"/>
      <c r="F697" s="228" t="n"/>
      <c r="G697" s="228" t="n"/>
      <c r="H697" s="228" t="n"/>
      <c r="I697" s="228" t="n"/>
      <c r="J697" s="228" t="n"/>
      <c r="K697" s="228" t="n"/>
      <c r="L697" s="228" t="n"/>
      <c r="M697" s="228" t="n"/>
      <c r="N697" s="228" t="n"/>
      <c r="O697" s="249" t="n"/>
    </row>
    <row r="698" ht="8.4" customHeight="1">
      <c r="B698" s="239" t="n"/>
      <c r="C698" s="250" t="n"/>
      <c r="D698" s="250" t="n"/>
      <c r="E698" s="250" t="n"/>
      <c r="F698" s="250" t="n"/>
      <c r="G698" s="250" t="n"/>
      <c r="H698" s="250" t="n"/>
      <c r="I698" s="250" t="n"/>
      <c r="J698" s="250" t="n"/>
      <c r="K698" s="250" t="n"/>
      <c r="L698" s="250" t="n"/>
      <c r="M698" s="250" t="n"/>
      <c r="N698" s="250" t="n"/>
      <c r="O698" s="251" t="n"/>
    </row>
    <row r="699" ht="22.5" customHeight="1">
      <c r="B699" s="127" t="inlineStr">
        <is>
          <t>KABA İNŞAAT EKİBİ</t>
        </is>
      </c>
      <c r="C699" s="218" t="n"/>
      <c r="D699" s="218" t="n"/>
      <c r="E699" s="219" t="n"/>
      <c r="F699" s="129" t="inlineStr">
        <is>
          <t>EKİP</t>
        </is>
      </c>
      <c r="G699" s="218" t="n"/>
      <c r="H699" s="218" t="n"/>
      <c r="I699" s="219" t="n"/>
      <c r="J699" s="133" t="inlineStr">
        <is>
          <t>HAFRİYAT EKİBİ</t>
        </is>
      </c>
      <c r="K699" s="218" t="n"/>
      <c r="L699" s="219" t="n"/>
      <c r="M699" s="134" t="inlineStr">
        <is>
          <t>İZOLASYON EKİBİ</t>
        </is>
      </c>
      <c r="N699" s="218" t="n"/>
      <c r="O699" s="219" t="n"/>
    </row>
    <row r="700" ht="26.25" customHeight="1">
      <c r="B700" s="127" t="inlineStr">
        <is>
          <t>PERSONEL</t>
        </is>
      </c>
      <c r="C700" s="219" t="n"/>
      <c r="D700" s="34" t="inlineStr">
        <is>
          <t>PUANTAJ</t>
        </is>
      </c>
      <c r="E700" s="128" t="inlineStr">
        <is>
          <t>KÜMÜLATİF PUANTAJ</t>
        </is>
      </c>
      <c r="F700" s="129" t="inlineStr">
        <is>
          <t>PERSONEL</t>
        </is>
      </c>
      <c r="G700" s="219" t="n"/>
      <c r="H700" s="35" t="inlineStr">
        <is>
          <t>PUANTAJ</t>
        </is>
      </c>
      <c r="I700" s="129" t="inlineStr">
        <is>
          <t>KÜMÜLATİF PUANTAJ</t>
        </is>
      </c>
      <c r="J700" s="133" t="inlineStr">
        <is>
          <t>PERSONEL</t>
        </is>
      </c>
      <c r="K700" s="34" t="inlineStr">
        <is>
          <t>PUANTAJ</t>
        </is>
      </c>
      <c r="L700" s="128" t="inlineStr">
        <is>
          <t>KÜMÜLATİF PUANTAJ</t>
        </is>
      </c>
      <c r="M700" s="36" t="inlineStr">
        <is>
          <t>PERSONEL</t>
        </is>
      </c>
      <c r="N700" s="35" t="inlineStr">
        <is>
          <t>PUANTAJ</t>
        </is>
      </c>
      <c r="O700" s="37" t="inlineStr">
        <is>
          <t>KÜMÜLATİF PUANTAJ</t>
        </is>
      </c>
    </row>
    <row r="701" ht="21" customFormat="1" customHeight="1" s="38">
      <c r="B701" s="107" t="inlineStr">
        <is>
          <t>Saha Mühendisi</t>
        </is>
      </c>
      <c r="C701" s="219" t="n"/>
      <c r="D701" s="39" t="n">
        <v>0</v>
      </c>
      <c r="E701" s="40">
        <f>D701</f>
        <v/>
      </c>
      <c r="F701" s="109" t="inlineStr">
        <is>
          <t>Saha Mühendisi</t>
        </is>
      </c>
      <c r="G701" s="219" t="n"/>
      <c r="H701" s="15" t="n">
        <v>0</v>
      </c>
      <c r="I701" s="41">
        <f>H701</f>
        <v/>
      </c>
      <c r="J701" s="42" t="inlineStr">
        <is>
          <t>Saha Mühendisi</t>
        </is>
      </c>
      <c r="K701" s="39" t="n">
        <v>0</v>
      </c>
      <c r="L701" s="40">
        <f>K701</f>
        <v/>
      </c>
      <c r="M701" s="43" t="inlineStr">
        <is>
          <t>Saha Mühendisi</t>
        </is>
      </c>
      <c r="N701" s="15" t="n">
        <v>0</v>
      </c>
      <c r="O701" s="10">
        <f>N701</f>
        <v/>
      </c>
    </row>
    <row r="702" ht="21" customFormat="1" customHeight="1" s="38">
      <c r="B702" s="107" t="inlineStr">
        <is>
          <t>Kalfa (Formen)</t>
        </is>
      </c>
      <c r="C702" s="219" t="n"/>
      <c r="D702" s="39" t="n">
        <v>0</v>
      </c>
      <c r="E702" s="40">
        <f>D702</f>
        <v/>
      </c>
      <c r="F702" s="109" t="inlineStr">
        <is>
          <t>Kalfa</t>
        </is>
      </c>
      <c r="G702" s="219" t="n"/>
      <c r="H702" s="15" t="n">
        <v>0</v>
      </c>
      <c r="I702" s="41">
        <f>H702</f>
        <v/>
      </c>
      <c r="J702" s="42" t="inlineStr">
        <is>
          <t>Kalfa</t>
        </is>
      </c>
      <c r="K702" s="39" t="n">
        <v>0</v>
      </c>
      <c r="L702" s="40">
        <f>K702</f>
        <v/>
      </c>
      <c r="M702" s="43" t="inlineStr">
        <is>
          <t>Kalfa</t>
        </is>
      </c>
      <c r="N702" s="15" t="n">
        <v>0</v>
      </c>
      <c r="O702" s="10">
        <f>N702</f>
        <v/>
      </c>
    </row>
    <row r="703" ht="21" customFormat="1" customHeight="1" s="38">
      <c r="B703" s="107" t="inlineStr">
        <is>
          <t>Usta ( Kalıpçı)</t>
        </is>
      </c>
      <c r="C703" s="219" t="n"/>
      <c r="D703" s="39" t="n">
        <v>0</v>
      </c>
      <c r="E703" s="40">
        <f>D703</f>
        <v/>
      </c>
      <c r="F703" s="109" t="inlineStr">
        <is>
          <t>Usta</t>
        </is>
      </c>
      <c r="G703" s="219" t="n"/>
      <c r="H703" s="15" t="n">
        <v>0</v>
      </c>
      <c r="I703" s="41">
        <f>H703</f>
        <v/>
      </c>
      <c r="J703" s="42" t="inlineStr">
        <is>
          <t>Topograf</t>
        </is>
      </c>
      <c r="K703" s="39" t="n">
        <v>0</v>
      </c>
      <c r="L703" s="40">
        <f>K703</f>
        <v/>
      </c>
      <c r="M703" s="43" t="inlineStr">
        <is>
          <t xml:space="preserve">Usta </t>
        </is>
      </c>
      <c r="N703" s="15" t="n">
        <v>0</v>
      </c>
      <c r="O703" s="10">
        <f>N703</f>
        <v/>
      </c>
    </row>
    <row r="704" ht="21" customFormat="1" customHeight="1" s="38">
      <c r="B704" s="107" t="inlineStr">
        <is>
          <t>Usta ( Demirci)</t>
        </is>
      </c>
      <c r="C704" s="219" t="n"/>
      <c r="D704" s="39" t="n">
        <v>0</v>
      </c>
      <c r="E704" s="40">
        <f>D704</f>
        <v/>
      </c>
      <c r="F704" s="109" t="inlineStr">
        <is>
          <t>Beden İşçisi</t>
        </is>
      </c>
      <c r="G704" s="219" t="n"/>
      <c r="H704" s="15" t="n">
        <v>0</v>
      </c>
      <c r="I704" s="41">
        <f>H704</f>
        <v/>
      </c>
      <c r="J704" s="42" t="inlineStr">
        <is>
          <t>Beden İşçisi</t>
        </is>
      </c>
      <c r="K704" s="39" t="n">
        <v>0</v>
      </c>
      <c r="L704" s="40">
        <f>K704</f>
        <v/>
      </c>
      <c r="M704" s="43" t="inlineStr">
        <is>
          <t>Beden İşçisi</t>
        </is>
      </c>
      <c r="N704" s="15" t="n">
        <v>0</v>
      </c>
      <c r="O704" s="10">
        <f>N704</f>
        <v/>
      </c>
    </row>
    <row r="705" ht="21" customFormat="1" customHeight="1" s="38">
      <c r="B705" s="107" t="inlineStr">
        <is>
          <t>Beden İşçisi</t>
        </is>
      </c>
      <c r="C705" s="219" t="n"/>
      <c r="D705" s="39" t="n">
        <v>0</v>
      </c>
      <c r="E705" s="40">
        <f>D705</f>
        <v/>
      </c>
      <c r="F705" s="109" t="inlineStr">
        <is>
          <t>İş. Mak. Opr.</t>
        </is>
      </c>
      <c r="G705" s="219" t="n"/>
      <c r="H705" s="15" t="n">
        <v>0</v>
      </c>
      <c r="I705" s="41">
        <f>H705</f>
        <v/>
      </c>
      <c r="J705" s="42" t="inlineStr">
        <is>
          <t>İş. Mak. Opr. (Eks.)</t>
        </is>
      </c>
      <c r="K705" s="39" t="n">
        <v>0</v>
      </c>
      <c r="L705" s="40">
        <f>K705</f>
        <v/>
      </c>
      <c r="M705" s="43" t="n"/>
      <c r="N705" s="15" t="n"/>
      <c r="O705" s="10" t="n"/>
    </row>
    <row r="706" ht="21" customFormat="1" customHeight="1" s="38">
      <c r="B706" s="107" t="inlineStr">
        <is>
          <t>İş. Mak. Opr.</t>
        </is>
      </c>
      <c r="C706" s="219" t="n"/>
      <c r="D706" s="39" t="n">
        <v>0</v>
      </c>
      <c r="E706" s="40">
        <f>D706</f>
        <v/>
      </c>
      <c r="F706" s="109" t="inlineStr">
        <is>
          <t>Test Ekibi</t>
        </is>
      </c>
      <c r="G706" s="219" t="n"/>
      <c r="H706" s="15" t="n">
        <v>0</v>
      </c>
      <c r="I706" s="41">
        <f>H706</f>
        <v/>
      </c>
      <c r="J706" s="42" t="inlineStr">
        <is>
          <t>Şoför (Kamyon)</t>
        </is>
      </c>
      <c r="K706" s="39" t="n">
        <v>0</v>
      </c>
      <c r="L706" s="40">
        <f>K706</f>
        <v/>
      </c>
      <c r="M706" s="43" t="n"/>
      <c r="N706" s="15" t="n"/>
      <c r="O706" s="10" t="n"/>
    </row>
    <row r="707" ht="21" customHeight="1">
      <c r="B707" s="130" t="inlineStr">
        <is>
          <t>TOPLAMLAR</t>
        </is>
      </c>
      <c r="C707" s="219" t="n"/>
      <c r="D707" s="34">
        <f>SUM(D701:D706)</f>
        <v/>
      </c>
      <c r="E707" s="34">
        <f>SUM(E701:E706)</f>
        <v/>
      </c>
      <c r="F707" s="132" t="inlineStr">
        <is>
          <t>TOPLAMLAR</t>
        </is>
      </c>
      <c r="G707" s="219" t="n"/>
      <c r="H707" s="35">
        <f>SUM(H701:H706)</f>
        <v/>
      </c>
      <c r="I707" s="35">
        <f>SUM(I701:I706)</f>
        <v/>
      </c>
      <c r="J707" s="133" t="inlineStr">
        <is>
          <t>TOPLAMLAR</t>
        </is>
      </c>
      <c r="K707" s="34">
        <f>SUM(K701:K706)</f>
        <v/>
      </c>
      <c r="L707" s="34">
        <f>SUM(L701:L706)</f>
        <v/>
      </c>
      <c r="M707" s="36" t="inlineStr">
        <is>
          <t>TOPLAMLAR</t>
        </is>
      </c>
      <c r="N707" s="35">
        <f>SUM(N701:N706)</f>
        <v/>
      </c>
      <c r="O707" s="44">
        <f>SUM(O701:O706)</f>
        <v/>
      </c>
    </row>
    <row r="708" ht="10.95" customHeight="1">
      <c r="B708" s="252" t="n"/>
      <c r="C708" s="218" t="n"/>
      <c r="D708" s="218" t="n"/>
      <c r="E708" s="218" t="n"/>
      <c r="F708" s="218" t="n"/>
      <c r="G708" s="218" t="n"/>
      <c r="H708" s="218" t="n"/>
      <c r="I708" s="218" t="n"/>
      <c r="J708" s="218" t="n"/>
      <c r="K708" s="218" t="n"/>
      <c r="L708" s="218" t="n"/>
      <c r="M708" s="218" t="n"/>
      <c r="N708" s="218" t="n"/>
      <c r="O708" s="220" t="n"/>
    </row>
    <row r="709" ht="26.25" customHeight="1">
      <c r="B709" s="127" t="inlineStr">
        <is>
          <t>EKİP</t>
        </is>
      </c>
      <c r="C709" s="218" t="n"/>
      <c r="D709" s="218" t="n"/>
      <c r="E709" s="219" t="n"/>
      <c r="F709" s="129" t="inlineStr">
        <is>
          <t xml:space="preserve">CEPHE- ÇATI EKİBİ </t>
        </is>
      </c>
      <c r="G709" s="218" t="n"/>
      <c r="H709" s="218" t="n"/>
      <c r="I709" s="219" t="n"/>
      <c r="J709" s="133" t="inlineStr">
        <is>
          <t xml:space="preserve">MEKANİK EKİBİ </t>
        </is>
      </c>
      <c r="K709" s="218" t="n"/>
      <c r="L709" s="219" t="n"/>
      <c r="M709" s="134" t="inlineStr">
        <is>
          <t xml:space="preserve">ELEKTRİK EKİBİ </t>
        </is>
      </c>
      <c r="N709" s="218" t="n"/>
      <c r="O709" s="219" t="n"/>
    </row>
    <row r="710" ht="26.25" customHeight="1">
      <c r="B710" s="127" t="inlineStr">
        <is>
          <t>PERSONEL</t>
        </is>
      </c>
      <c r="C710" s="219" t="n"/>
      <c r="D710" s="34" t="inlineStr">
        <is>
          <t>PUANTAJ</t>
        </is>
      </c>
      <c r="E710" s="128" t="inlineStr">
        <is>
          <t>KÜMÜLATİF PUANTAJ</t>
        </is>
      </c>
      <c r="F710" s="129" t="inlineStr">
        <is>
          <t>PERSONEL</t>
        </is>
      </c>
      <c r="G710" s="219" t="n"/>
      <c r="H710" s="35" t="inlineStr">
        <is>
          <t>PUANTAJ</t>
        </is>
      </c>
      <c r="I710" s="129" t="inlineStr">
        <is>
          <t>KÜMÜLATİF PUANTAJ</t>
        </is>
      </c>
      <c r="J710" s="133" t="inlineStr">
        <is>
          <t>PERSONEL</t>
        </is>
      </c>
      <c r="K710" s="34" t="inlineStr">
        <is>
          <t>PUANTAJ</t>
        </is>
      </c>
      <c r="L710" s="128" t="inlineStr">
        <is>
          <t>KÜMÜLATİF PUANTAJ</t>
        </is>
      </c>
      <c r="M710" s="36" t="inlineStr">
        <is>
          <t>PERSONEL</t>
        </is>
      </c>
      <c r="N710" s="35" t="inlineStr">
        <is>
          <t>PUANTAJ</t>
        </is>
      </c>
      <c r="O710" s="37" t="inlineStr">
        <is>
          <t>KÜMÜLATİF PUANTAJ</t>
        </is>
      </c>
    </row>
    <row r="711" ht="21" customHeight="1">
      <c r="B711" s="107" t="inlineStr">
        <is>
          <t>Saha Mühendisi</t>
        </is>
      </c>
      <c r="C711" s="219" t="n"/>
      <c r="D711" s="39" t="n">
        <v>0</v>
      </c>
      <c r="E711" s="39">
        <f>D711</f>
        <v/>
      </c>
      <c r="F711" s="109" t="inlineStr">
        <is>
          <t>Saha Mühendisi</t>
        </is>
      </c>
      <c r="G711" s="219" t="n"/>
      <c r="H711" s="15" t="n">
        <v>0</v>
      </c>
      <c r="I711" s="15">
        <f>H711</f>
        <v/>
      </c>
      <c r="J711" s="42" t="inlineStr">
        <is>
          <t>Saha Mühendisi</t>
        </is>
      </c>
      <c r="K711" s="39" t="n">
        <v>0</v>
      </c>
      <c r="L711" s="39">
        <f>K711</f>
        <v/>
      </c>
      <c r="M711" s="43" t="inlineStr">
        <is>
          <t>Saha Mühendisi</t>
        </is>
      </c>
      <c r="N711" s="15" t="n">
        <v>0</v>
      </c>
      <c r="O711" s="10">
        <f>N711</f>
        <v/>
      </c>
    </row>
    <row r="712" ht="21" customHeight="1">
      <c r="B712" s="107" t="inlineStr">
        <is>
          <t>Kalfa</t>
        </is>
      </c>
      <c r="C712" s="219" t="n"/>
      <c r="D712" s="39" t="n">
        <v>0</v>
      </c>
      <c r="E712" s="39">
        <f>D712</f>
        <v/>
      </c>
      <c r="F712" s="109" t="inlineStr">
        <is>
          <t>Kalfa</t>
        </is>
      </c>
      <c r="G712" s="219" t="n"/>
      <c r="H712" s="15" t="n">
        <v>0</v>
      </c>
      <c r="I712" s="15">
        <f>H712</f>
        <v/>
      </c>
      <c r="J712" s="42" t="inlineStr">
        <is>
          <t>Kalfa</t>
        </is>
      </c>
      <c r="K712" s="39" t="n">
        <v>0</v>
      </c>
      <c r="L712" s="39">
        <f>K712</f>
        <v/>
      </c>
      <c r="M712" s="43" t="inlineStr">
        <is>
          <t>Kalfa</t>
        </is>
      </c>
      <c r="N712" s="15" t="n">
        <v>0</v>
      </c>
      <c r="O712" s="10">
        <f>N712</f>
        <v/>
      </c>
    </row>
    <row r="713" ht="21" customHeight="1">
      <c r="B713" s="107" t="inlineStr">
        <is>
          <t xml:space="preserve">Usta </t>
        </is>
      </c>
      <c r="C713" s="219" t="n"/>
      <c r="D713" s="39" t="n">
        <v>0</v>
      </c>
      <c r="E713" s="39">
        <f>D713</f>
        <v/>
      </c>
      <c r="F713" s="109" t="inlineStr">
        <is>
          <t xml:space="preserve">Usta </t>
        </is>
      </c>
      <c r="G713" s="219" t="n"/>
      <c r="H713" s="15" t="n">
        <v>0</v>
      </c>
      <c r="I713" s="15">
        <f>H713</f>
        <v/>
      </c>
      <c r="J713" s="42" t="inlineStr">
        <is>
          <t xml:space="preserve">Usta </t>
        </is>
      </c>
      <c r="K713" s="39" t="n">
        <v>0</v>
      </c>
      <c r="L713" s="39">
        <f>K713</f>
        <v/>
      </c>
      <c r="M713" s="43" t="inlineStr">
        <is>
          <t xml:space="preserve">Usta </t>
        </is>
      </c>
      <c r="N713" s="15" t="n">
        <v>0</v>
      </c>
      <c r="O713" s="10">
        <f>N713</f>
        <v/>
      </c>
    </row>
    <row r="714" ht="21" customHeight="1">
      <c r="B714" s="107" t="inlineStr">
        <is>
          <t>Beden İşçisi</t>
        </is>
      </c>
      <c r="C714" s="219" t="n"/>
      <c r="D714" s="39" t="n">
        <v>0</v>
      </c>
      <c r="E714" s="39">
        <f>D714</f>
        <v/>
      </c>
      <c r="F714" s="109" t="inlineStr">
        <is>
          <t>Beden İşçisi</t>
        </is>
      </c>
      <c r="G714" s="219" t="n"/>
      <c r="H714" s="15" t="n">
        <v>0</v>
      </c>
      <c r="I714" s="15">
        <f>H714</f>
        <v/>
      </c>
      <c r="J714" s="42" t="inlineStr">
        <is>
          <t>Beden İşçisi</t>
        </is>
      </c>
      <c r="K714" s="39" t="n">
        <v>0</v>
      </c>
      <c r="L714" s="39">
        <f>K714</f>
        <v/>
      </c>
      <c r="M714" s="43" t="inlineStr">
        <is>
          <t>Beden İşçisi</t>
        </is>
      </c>
      <c r="N714" s="15" t="n">
        <v>0</v>
      </c>
      <c r="O714" s="10">
        <f>N714</f>
        <v/>
      </c>
    </row>
    <row r="715" ht="21" customHeight="1">
      <c r="B715" s="107" t="inlineStr">
        <is>
          <t>İş. Mak. Opr.</t>
        </is>
      </c>
      <c r="C715" s="219" t="n"/>
      <c r="D715" s="39" t="n">
        <v>0</v>
      </c>
      <c r="E715" s="39">
        <f>D715</f>
        <v/>
      </c>
      <c r="F715" s="109" t="inlineStr">
        <is>
          <t>İş. Mak. Opr.</t>
        </is>
      </c>
      <c r="G715" s="219" t="n"/>
      <c r="H715" s="15" t="n">
        <v>0</v>
      </c>
      <c r="I715" s="15">
        <f>H715</f>
        <v/>
      </c>
      <c r="J715" s="42" t="inlineStr">
        <is>
          <t>İş. Mak. Opr.</t>
        </is>
      </c>
      <c r="K715" s="39" t="n">
        <v>0</v>
      </c>
      <c r="L715" s="39">
        <f>K715</f>
        <v/>
      </c>
      <c r="M715" s="43" t="inlineStr">
        <is>
          <t>İş. Mak. Opr.</t>
        </is>
      </c>
      <c r="N715" s="15" t="n">
        <v>0</v>
      </c>
      <c r="O715" s="10">
        <f>N715</f>
        <v/>
      </c>
    </row>
    <row r="716" ht="21" customFormat="1" customHeight="1" s="45">
      <c r="B716" s="130" t="inlineStr">
        <is>
          <t>TOPLAMLAR</t>
        </is>
      </c>
      <c r="C716" s="219" t="n"/>
      <c r="D716" s="34">
        <f>SUM(D710:D715)</f>
        <v/>
      </c>
      <c r="E716" s="34">
        <f>SUM(E711:E715)</f>
        <v/>
      </c>
      <c r="F716" s="132" t="inlineStr">
        <is>
          <t>TOPLAMLAR</t>
        </is>
      </c>
      <c r="G716" s="219" t="n"/>
      <c r="H716" s="35">
        <f>SUM(H710:H715)</f>
        <v/>
      </c>
      <c r="I716" s="35">
        <f>SUM(I711:I715)</f>
        <v/>
      </c>
      <c r="J716" s="133" t="inlineStr">
        <is>
          <t>TOPLAMLAR</t>
        </is>
      </c>
      <c r="K716" s="34">
        <f>SUM(K710:K715)</f>
        <v/>
      </c>
      <c r="L716" s="34">
        <f>SUM(L711:L715)</f>
        <v/>
      </c>
      <c r="M716" s="36" t="inlineStr">
        <is>
          <t>TOPLAMLAR</t>
        </is>
      </c>
      <c r="N716" s="35">
        <f>SUM(N710:N715)</f>
        <v/>
      </c>
      <c r="O716" s="44">
        <f>SUM(O711:O715)</f>
        <v/>
      </c>
    </row>
    <row r="717" ht="10.95" customHeight="1">
      <c r="B717" s="252" t="n"/>
      <c r="C717" s="218" t="n"/>
      <c r="D717" s="218" t="n"/>
      <c r="E717" s="218" t="n"/>
      <c r="F717" s="218" t="n"/>
      <c r="G717" s="218" t="n"/>
      <c r="H717" s="218" t="n"/>
      <c r="I717" s="218" t="n"/>
      <c r="J717" s="218" t="n"/>
      <c r="K717" s="218" t="n"/>
      <c r="L717" s="218" t="n"/>
      <c r="M717" s="218" t="n"/>
      <c r="N717" s="218" t="n"/>
      <c r="O717" s="220" t="n"/>
    </row>
    <row r="718" ht="26.25" customHeight="1">
      <c r="B718" s="127" t="inlineStr">
        <is>
          <t>EKİP</t>
        </is>
      </c>
      <c r="C718" s="218" t="n"/>
      <c r="D718" s="218" t="n"/>
      <c r="E718" s="219" t="n"/>
      <c r="F718" s="129" t="inlineStr">
        <is>
          <t>EKİP</t>
        </is>
      </c>
      <c r="G718" s="218" t="n"/>
      <c r="H718" s="218" t="n"/>
      <c r="I718" s="219" t="n"/>
      <c r="J718" s="133" t="inlineStr">
        <is>
          <t>EKİP</t>
        </is>
      </c>
      <c r="K718" s="218" t="n"/>
      <c r="L718" s="219" t="n"/>
      <c r="M718" s="133" t="inlineStr">
        <is>
          <t>EKİP</t>
        </is>
      </c>
      <c r="N718" s="218" t="n"/>
      <c r="O718" s="219" t="n"/>
    </row>
    <row r="719" ht="26.25" customHeight="1">
      <c r="B719" s="127" t="inlineStr">
        <is>
          <t>PERSONEL</t>
        </is>
      </c>
      <c r="C719" s="219" t="n"/>
      <c r="D719" s="34" t="inlineStr">
        <is>
          <t>PUANTAJ</t>
        </is>
      </c>
      <c r="E719" s="128" t="inlineStr">
        <is>
          <t>KÜMÜLATİF PUANTAJ</t>
        </is>
      </c>
      <c r="F719" s="129" t="inlineStr">
        <is>
          <t>PERSONEL</t>
        </is>
      </c>
      <c r="G719" s="219" t="n"/>
      <c r="H719" s="35" t="inlineStr">
        <is>
          <t>PUANTAJ</t>
        </is>
      </c>
      <c r="I719" s="129" t="inlineStr">
        <is>
          <t>KÜMÜLATİF PUANTAJ</t>
        </is>
      </c>
      <c r="J719" s="133" t="inlineStr">
        <is>
          <t>PERSONEL</t>
        </is>
      </c>
      <c r="K719" s="34" t="inlineStr">
        <is>
          <t>PUANTAJ</t>
        </is>
      </c>
      <c r="L719" s="128" t="inlineStr">
        <is>
          <t>KÜMÜLATİF PUANTAJ</t>
        </is>
      </c>
      <c r="M719" s="36" t="inlineStr">
        <is>
          <t>PERSONEL</t>
        </is>
      </c>
      <c r="N719" s="35" t="inlineStr">
        <is>
          <t>PUANTAJ</t>
        </is>
      </c>
      <c r="O719" s="37" t="inlineStr">
        <is>
          <t>KÜMÜLATİF PUANTAJ</t>
        </is>
      </c>
    </row>
    <row r="720" ht="22.2" customHeight="1">
      <c r="B720" s="107" t="inlineStr">
        <is>
          <t>Saha Mühendisi</t>
        </is>
      </c>
      <c r="C720" s="219" t="n"/>
      <c r="D720" s="39" t="n">
        <v>0</v>
      </c>
      <c r="E720" s="39">
        <f>D720</f>
        <v/>
      </c>
      <c r="F720" s="109" t="inlineStr">
        <is>
          <t>Saha Mühendisi</t>
        </is>
      </c>
      <c r="G720" s="219" t="n"/>
      <c r="H720" s="15" t="n">
        <v>0</v>
      </c>
      <c r="I720" s="15">
        <f>H720</f>
        <v/>
      </c>
      <c r="J720" s="42" t="inlineStr">
        <is>
          <t>Saha Mühendisi</t>
        </is>
      </c>
      <c r="K720" s="39" t="n">
        <v>0</v>
      </c>
      <c r="L720" s="39">
        <f>K720</f>
        <v/>
      </c>
      <c r="M720" s="43" t="inlineStr">
        <is>
          <t>Saha Mühendisi</t>
        </is>
      </c>
      <c r="N720" s="15" t="n">
        <v>0</v>
      </c>
      <c r="O720" s="10">
        <f>N720</f>
        <v/>
      </c>
    </row>
    <row r="721" ht="22.2" customHeight="1">
      <c r="B721" s="107" t="inlineStr">
        <is>
          <t>Kalfa</t>
        </is>
      </c>
      <c r="C721" s="219" t="n"/>
      <c r="D721" s="39" t="n">
        <v>0</v>
      </c>
      <c r="E721" s="39">
        <f>D721</f>
        <v/>
      </c>
      <c r="F721" s="109" t="inlineStr">
        <is>
          <t>Kalfa</t>
        </is>
      </c>
      <c r="G721" s="219" t="n"/>
      <c r="H721" s="15" t="n">
        <v>0</v>
      </c>
      <c r="I721" s="15">
        <f>H721</f>
        <v/>
      </c>
      <c r="J721" s="42" t="inlineStr">
        <is>
          <t>Kalfa</t>
        </is>
      </c>
      <c r="K721" s="39" t="n">
        <v>0</v>
      </c>
      <c r="L721" s="39">
        <f>K721</f>
        <v/>
      </c>
      <c r="M721" s="43" t="inlineStr">
        <is>
          <t>Kalfa</t>
        </is>
      </c>
      <c r="N721" s="15" t="n">
        <v>0</v>
      </c>
      <c r="O721" s="10">
        <f>N721</f>
        <v/>
      </c>
    </row>
    <row r="722" ht="22.2" customHeight="1">
      <c r="B722" s="107" t="inlineStr">
        <is>
          <t xml:space="preserve">Usta </t>
        </is>
      </c>
      <c r="C722" s="219" t="n"/>
      <c r="D722" s="39" t="n">
        <v>0</v>
      </c>
      <c r="E722" s="39">
        <f>D722</f>
        <v/>
      </c>
      <c r="F722" s="109" t="inlineStr">
        <is>
          <t xml:space="preserve">Usta </t>
        </is>
      </c>
      <c r="G722" s="219" t="n"/>
      <c r="H722" s="15" t="n">
        <v>0</v>
      </c>
      <c r="I722" s="15">
        <f>H722</f>
        <v/>
      </c>
      <c r="J722" s="42" t="inlineStr">
        <is>
          <t xml:space="preserve">Usta </t>
        </is>
      </c>
      <c r="K722" s="39" t="n">
        <v>0</v>
      </c>
      <c r="L722" s="39">
        <f>K722</f>
        <v/>
      </c>
      <c r="M722" s="43" t="inlineStr">
        <is>
          <t xml:space="preserve">Usta </t>
        </is>
      </c>
      <c r="N722" s="15" t="n">
        <v>0</v>
      </c>
      <c r="O722" s="10">
        <f>N722</f>
        <v/>
      </c>
    </row>
    <row r="723" ht="22.2" customHeight="1">
      <c r="B723" s="107" t="inlineStr">
        <is>
          <t>Beden İşçisi</t>
        </is>
      </c>
      <c r="C723" s="219" t="n"/>
      <c r="D723" s="39" t="n">
        <v>0</v>
      </c>
      <c r="E723" s="39">
        <f>D723</f>
        <v/>
      </c>
      <c r="F723" s="109" t="inlineStr">
        <is>
          <t>Beden İşçisi</t>
        </is>
      </c>
      <c r="G723" s="219" t="n"/>
      <c r="H723" s="15" t="n">
        <v>0</v>
      </c>
      <c r="I723" s="15">
        <f>H723</f>
        <v/>
      </c>
      <c r="J723" s="42" t="inlineStr">
        <is>
          <t>Beden İşçisi</t>
        </is>
      </c>
      <c r="K723" s="39" t="n">
        <v>0</v>
      </c>
      <c r="L723" s="39">
        <f>K723</f>
        <v/>
      </c>
      <c r="M723" s="43" t="inlineStr">
        <is>
          <t>Beden İşçisi</t>
        </is>
      </c>
      <c r="N723" s="15" t="n">
        <v>0</v>
      </c>
      <c r="O723" s="10">
        <f>N723</f>
        <v/>
      </c>
    </row>
    <row r="724" ht="22.2" customHeight="1">
      <c r="B724" s="107" t="inlineStr">
        <is>
          <t>İş. Mak. Opr.</t>
        </is>
      </c>
      <c r="C724" s="219" t="n"/>
      <c r="D724" s="39" t="n">
        <v>0</v>
      </c>
      <c r="E724" s="39">
        <f>D724</f>
        <v/>
      </c>
      <c r="F724" s="109" t="inlineStr">
        <is>
          <t>İş. Mak. Opr.</t>
        </is>
      </c>
      <c r="G724" s="219" t="n"/>
      <c r="H724" s="15" t="n">
        <v>0</v>
      </c>
      <c r="I724" s="15">
        <f>H724</f>
        <v/>
      </c>
      <c r="J724" s="42" t="inlineStr">
        <is>
          <t>İş. Mak. Opr.</t>
        </is>
      </c>
      <c r="K724" s="39" t="n">
        <v>0</v>
      </c>
      <c r="L724" s="39">
        <f>K724</f>
        <v/>
      </c>
      <c r="M724" s="43" t="inlineStr">
        <is>
          <t>İş. Mak. Opr.</t>
        </is>
      </c>
      <c r="N724" s="15" t="n">
        <v>0</v>
      </c>
      <c r="O724" s="10">
        <f>N724</f>
        <v/>
      </c>
    </row>
    <row r="725" ht="22.2" customFormat="1" customHeight="1" s="45">
      <c r="B725" s="130" t="inlineStr">
        <is>
          <t>TOPLAMLAR</t>
        </is>
      </c>
      <c r="C725" s="219" t="n"/>
      <c r="D725" s="34">
        <f>SUM(D719:D724)</f>
        <v/>
      </c>
      <c r="E725" s="34">
        <f>SUM(E720:E724)</f>
        <v/>
      </c>
      <c r="F725" s="132" t="inlineStr">
        <is>
          <t>TOPLAMLAR</t>
        </is>
      </c>
      <c r="G725" s="219" t="n"/>
      <c r="H725" s="35">
        <f>SUM(H719:H724)</f>
        <v/>
      </c>
      <c r="I725" s="35">
        <f>SUM(I720:I724)</f>
        <v/>
      </c>
      <c r="J725" s="133" t="inlineStr">
        <is>
          <t>TOPLAMLAR</t>
        </is>
      </c>
      <c r="K725" s="34">
        <f>SUM(K719:K724)</f>
        <v/>
      </c>
      <c r="L725" s="34">
        <f>SUM(L720:L724)</f>
        <v/>
      </c>
      <c r="M725" s="36" t="inlineStr">
        <is>
          <t>TOPLAMLAR</t>
        </is>
      </c>
      <c r="N725" s="35">
        <f>SUM(N719:N724)</f>
        <v/>
      </c>
      <c r="O725" s="44">
        <f>SUM(O720:O724)</f>
        <v/>
      </c>
    </row>
    <row r="726" ht="10.95" customHeight="1">
      <c r="B726" s="252" t="n"/>
      <c r="C726" s="218" t="n"/>
      <c r="D726" s="218" t="n"/>
      <c r="E726" s="218" t="n"/>
      <c r="F726" s="218" t="n"/>
      <c r="G726" s="218" t="n"/>
      <c r="H726" s="218" t="n"/>
      <c r="I726" s="218" t="n"/>
      <c r="J726" s="218" t="n"/>
      <c r="K726" s="218" t="n"/>
      <c r="L726" s="218" t="n"/>
      <c r="M726" s="218" t="n"/>
      <c r="N726" s="218" t="n"/>
      <c r="O726" s="220" t="n"/>
    </row>
    <row r="727" ht="27" customFormat="1" customHeight="1" s="46">
      <c r="B727" s="253" t="inlineStr">
        <is>
          <t>GÜNLÜK TOPLAM</t>
        </is>
      </c>
      <c r="C727" s="218" t="n"/>
      <c r="D727" s="218" t="n"/>
      <c r="E727" s="218" t="n"/>
      <c r="F727" s="218" t="n"/>
      <c r="G727" s="218" t="n"/>
      <c r="H727" s="218" t="n"/>
      <c r="I727" s="218" t="n"/>
      <c r="J727" s="218" t="n"/>
      <c r="K727" s="218" t="n"/>
      <c r="L727" s="218" t="n"/>
      <c r="M727" s="219" t="n"/>
      <c r="N727" s="254">
        <f>D707+H707+K707+N707+D716+H716+K716+N716+D725+H725+K725+N725</f>
        <v/>
      </c>
      <c r="O727" s="220" t="n"/>
    </row>
    <row r="728" ht="27" customFormat="1" customHeight="1" s="46" thickBot="1">
      <c r="B728" s="255" t="inlineStr">
        <is>
          <t>KÜMÜLATİF TOPLAM</t>
        </is>
      </c>
      <c r="C728" s="222" t="n"/>
      <c r="D728" s="222" t="n"/>
      <c r="E728" s="222" t="n"/>
      <c r="F728" s="222" t="n"/>
      <c r="G728" s="222" t="n"/>
      <c r="H728" s="222" t="n"/>
      <c r="I728" s="222" t="n"/>
      <c r="J728" s="222" t="n"/>
      <c r="K728" s="222" t="n"/>
      <c r="L728" s="222" t="n"/>
      <c r="M728" s="223" t="n"/>
      <c r="N728" s="256">
        <f>E707+I707+L707+O707+E716+I716+L716+O716+E725+I725+L725+O725</f>
        <v/>
      </c>
      <c r="O728" s="226" t="n"/>
    </row>
    <row r="729" ht="87" customHeight="1" thickBot="1">
      <c r="B729" s="213" t="n"/>
      <c r="C729" s="214" t="n"/>
      <c r="D729" s="214" t="n"/>
      <c r="E729" s="215" t="n"/>
      <c r="F729" s="97" t="inlineStr">
        <is>
          <t>GÜNLÜK FAALİYET RAPORU
0XXXX-XXX-SGM-XXX-XXX-DPR-IPY-100001</t>
        </is>
      </c>
      <c r="G729" s="214" t="n"/>
      <c r="H729" s="214" t="n"/>
      <c r="I729" s="214" t="n"/>
      <c r="J729" s="214" t="n"/>
      <c r="K729" s="215" t="n"/>
      <c r="L729" s="99" t="inlineStr">
        <is>
          <t>LOGO</t>
        </is>
      </c>
      <c r="M729" s="214" t="n"/>
      <c r="N729" s="214" t="n"/>
      <c r="O729" s="216" t="n"/>
    </row>
    <row r="730" ht="21" customHeight="1" thickBot="1">
      <c r="B730" s="257" t="inlineStr">
        <is>
          <t>YAPILAN İŞLER</t>
        </is>
      </c>
      <c r="C730" s="258" t="n"/>
      <c r="D730" s="258" t="n"/>
      <c r="E730" s="258" t="n"/>
      <c r="F730" s="258" t="n"/>
      <c r="G730" s="258" t="n"/>
      <c r="H730" s="258" t="n"/>
      <c r="I730" s="258" t="n"/>
      <c r="J730" s="258" t="n"/>
      <c r="K730" s="258" t="n"/>
      <c r="L730" s="258" t="n"/>
      <c r="M730" s="258" t="n"/>
      <c r="N730" s="258" t="n"/>
      <c r="O730" s="259" t="n"/>
    </row>
    <row r="731" ht="40.2" customFormat="1" customHeight="1" s="45">
      <c r="B731" s="47" t="inlineStr">
        <is>
          <t>NO</t>
        </is>
      </c>
      <c r="C731" s="260" t="inlineStr">
        <is>
          <t>AÇIKLAMA</t>
        </is>
      </c>
      <c r="D731" s="214" t="n"/>
      <c r="E731" s="214" t="n"/>
      <c r="F731" s="214" t="n"/>
      <c r="G731" s="214" t="n"/>
      <c r="H731" s="214" t="n"/>
      <c r="I731" s="215" t="n"/>
      <c r="J731" s="48" t="inlineStr">
        <is>
          <t>İLGİLİ FİRMA/ÇALIŞAN SAYISI</t>
        </is>
      </c>
      <c r="K731" s="261" t="inlineStr">
        <is>
          <t>İLAVE NOTLAR</t>
        </is>
      </c>
      <c r="L731" s="214" t="n"/>
      <c r="M731" s="214" t="n"/>
      <c r="N731" s="214" t="n"/>
      <c r="O731" s="216" t="n"/>
    </row>
    <row r="732" hidden="1" ht="19.95" customFormat="1" customHeight="1" s="45">
      <c r="B732" s="49" t="n"/>
      <c r="C732" s="262" t="inlineStr">
        <is>
          <t>Ruhsat Alım İşleri</t>
        </is>
      </c>
      <c r="D732" s="218" t="n"/>
      <c r="E732" s="218" t="n"/>
      <c r="F732" s="218" t="n"/>
      <c r="G732" s="218" t="n"/>
      <c r="H732" s="218" t="n"/>
      <c r="I732" s="219" t="n"/>
      <c r="J732" s="50" t="n"/>
      <c r="K732" s="263" t="n"/>
      <c r="L732" s="218" t="n"/>
      <c r="M732" s="218" t="n"/>
      <c r="N732" s="218" t="n"/>
      <c r="O732" s="220" t="n"/>
    </row>
    <row r="733" hidden="1" ht="49.95" customFormat="1" customHeight="1" s="45">
      <c r="B733" s="51" t="n">
        <v>1</v>
      </c>
      <c r="C733" s="264" t="inlineStr">
        <is>
          <t>Yapım ruhsatı yazılmış olup, yapı denetim ve Akyurt Belediyesinde tüm imzalar tamamlanmıştır. SGK Müdürlüğüne gidilerek İşyeri açılışı için başvuru yapılmış ve İşyeri açılışı yapılmıştır.</t>
        </is>
      </c>
      <c r="D733" s="218" t="n"/>
      <c r="E733" s="218" t="n"/>
      <c r="F733" s="218" t="n"/>
      <c r="G733" s="218" t="n"/>
      <c r="H733" s="218" t="n"/>
      <c r="I733" s="219" t="n"/>
      <c r="J733" s="52" t="n"/>
      <c r="K733" s="265" t="inlineStr">
        <is>
          <t>SGK İşyeri Sicil Numarası : 4.4120.0101.1457705.006.27.57.000.040</t>
        </is>
      </c>
      <c r="L733" s="218" t="n"/>
      <c r="M733" s="218" t="n"/>
      <c r="N733" s="218" t="n"/>
      <c r="O733" s="220" t="n"/>
    </row>
    <row r="734" hidden="1" ht="19.95" customFormat="1" customHeight="1" s="45">
      <c r="B734" s="49" t="n"/>
      <c r="C734" s="262" t="inlineStr">
        <is>
          <t>Mobilizasyon İşleri</t>
        </is>
      </c>
      <c r="D734" s="218" t="n"/>
      <c r="E734" s="218" t="n"/>
      <c r="F734" s="218" t="n"/>
      <c r="G734" s="218" t="n"/>
      <c r="H734" s="218" t="n"/>
      <c r="I734" s="219" t="n"/>
      <c r="J734" s="50" t="n"/>
      <c r="K734" s="263" t="n"/>
      <c r="L734" s="218" t="n"/>
      <c r="M734" s="218" t="n"/>
      <c r="N734" s="218" t="n"/>
      <c r="O734" s="220" t="n"/>
    </row>
    <row r="735" hidden="1" ht="30" customFormat="1" customHeight="1" s="45">
      <c r="B735" s="51" t="n">
        <v>1</v>
      </c>
      <c r="C735" s="264" t="inlineStr">
        <is>
          <t>Mobilizasyon çalışmaları devam etmektedir.</t>
        </is>
      </c>
      <c r="D735" s="218" t="n"/>
      <c r="E735" s="218" t="n"/>
      <c r="F735" s="218" t="n"/>
      <c r="G735" s="218" t="n"/>
      <c r="H735" s="218" t="n"/>
      <c r="I735" s="219" t="n"/>
      <c r="J735" s="52" t="n"/>
      <c r="K735" s="265" t="inlineStr">
        <is>
          <t>İSG önlemleri kapsamında çalışmalar yapıldı.</t>
        </is>
      </c>
      <c r="L735" s="218" t="n"/>
      <c r="M735" s="218" t="n"/>
      <c r="N735" s="218" t="n"/>
      <c r="O735" s="220" t="n"/>
    </row>
    <row r="736" ht="19.95" customFormat="1" customHeight="1" s="45">
      <c r="B736" s="49" t="n"/>
      <c r="C736" s="262" t="inlineStr">
        <is>
          <t>Kazı İşleri</t>
        </is>
      </c>
      <c r="D736" s="218" t="n"/>
      <c r="E736" s="218" t="n"/>
      <c r="F736" s="218" t="n"/>
      <c r="G736" s="218" t="n"/>
      <c r="H736" s="218" t="n"/>
      <c r="I736" s="219" t="n"/>
      <c r="J736" s="50" t="n"/>
      <c r="K736" s="263" t="n"/>
      <c r="L736" s="218" t="n"/>
      <c r="M736" s="218" t="n"/>
      <c r="N736" s="218" t="n"/>
      <c r="O736" s="220" t="n"/>
    </row>
    <row r="737" ht="34.5" customFormat="1" customHeight="1" s="45">
      <c r="B737" s="51" t="n">
        <v>1</v>
      </c>
      <c r="C737" s="266" t="n"/>
      <c r="D737" s="218" t="n"/>
      <c r="E737" s="218" t="n"/>
      <c r="F737" s="218" t="n"/>
      <c r="G737" s="218" t="n"/>
      <c r="H737" s="218" t="n"/>
      <c r="I737" s="219" t="n"/>
      <c r="J737" s="52" t="n"/>
      <c r="K737" s="267" t="n"/>
      <c r="L737" s="218" t="n"/>
      <c r="M737" s="218" t="n"/>
      <c r="N737" s="218" t="n"/>
      <c r="O737" s="220" t="n"/>
    </row>
    <row r="738" ht="34.5" customFormat="1" customHeight="1" s="45">
      <c r="B738" s="51" t="n">
        <v>2</v>
      </c>
      <c r="C738" s="266" t="n"/>
      <c r="D738" s="218" t="n"/>
      <c r="E738" s="218" t="n"/>
      <c r="F738" s="218" t="n"/>
      <c r="G738" s="218" t="n"/>
      <c r="H738" s="218" t="n"/>
      <c r="I738" s="219" t="n"/>
      <c r="J738" s="52" t="n"/>
      <c r="K738" s="267" t="n"/>
      <c r="L738" s="218" t="n"/>
      <c r="M738" s="218" t="n"/>
      <c r="N738" s="218" t="n"/>
      <c r="O738" s="220" t="n"/>
    </row>
    <row r="739" ht="35.4" customFormat="1" customHeight="1" s="45">
      <c r="B739" s="51" t="n">
        <v>3</v>
      </c>
      <c r="C739" s="264" t="n"/>
      <c r="D739" s="218" t="n"/>
      <c r="E739" s="218" t="n"/>
      <c r="F739" s="218" t="n"/>
      <c r="G739" s="218" t="n"/>
      <c r="H739" s="218" t="n"/>
      <c r="I739" s="219" t="n"/>
      <c r="J739" s="52" t="n"/>
      <c r="K739" s="265" t="n"/>
      <c r="L739" s="218" t="n"/>
      <c r="M739" s="218" t="n"/>
      <c r="N739" s="218" t="n"/>
      <c r="O739" s="220" t="n"/>
    </row>
    <row r="740" ht="19.95" customFormat="1" customHeight="1" s="45">
      <c r="B740" s="49" t="n"/>
      <c r="C740" s="262" t="inlineStr">
        <is>
          <t>Betonarme Kaba Yapı İşleri</t>
        </is>
      </c>
      <c r="D740" s="218" t="n"/>
      <c r="E740" s="218" t="n"/>
      <c r="F740" s="218" t="n"/>
      <c r="G740" s="218" t="n"/>
      <c r="H740" s="218" t="n"/>
      <c r="I740" s="219" t="n"/>
      <c r="J740" s="50" t="n"/>
      <c r="K740" s="263" t="n"/>
      <c r="L740" s="218" t="n"/>
      <c r="M740" s="218" t="n"/>
      <c r="N740" s="218" t="n"/>
      <c r="O740" s="220" t="n"/>
    </row>
    <row r="741" ht="34.5" customFormat="1" customHeight="1" s="45">
      <c r="B741" s="51" t="n">
        <v>1</v>
      </c>
      <c r="C741" s="266" t="n"/>
      <c r="D741" s="218" t="n"/>
      <c r="E741" s="218" t="n"/>
      <c r="F741" s="218" t="n"/>
      <c r="G741" s="218" t="n"/>
      <c r="H741" s="218" t="n"/>
      <c r="I741" s="219" t="n"/>
      <c r="J741" s="52" t="n"/>
      <c r="K741" s="65" t="n"/>
      <c r="L741" s="66" t="n"/>
      <c r="M741" s="66" t="n"/>
      <c r="N741" s="66" t="n"/>
      <c r="O741" s="67" t="n"/>
    </row>
    <row r="742" ht="34.5" customFormat="1" customHeight="1" s="45">
      <c r="B742" s="51" t="n">
        <v>2</v>
      </c>
      <c r="C742" s="266" t="n"/>
      <c r="D742" s="218" t="n"/>
      <c r="E742" s="218" t="n"/>
      <c r="F742" s="218" t="n"/>
      <c r="G742" s="218" t="n"/>
      <c r="H742" s="218" t="n"/>
      <c r="I742" s="219" t="n"/>
      <c r="J742" s="52" t="n"/>
      <c r="K742" s="267" t="n"/>
      <c r="L742" s="218" t="n"/>
      <c r="M742" s="218" t="n"/>
      <c r="N742" s="218" t="n"/>
      <c r="O742" s="220" t="n"/>
    </row>
    <row r="743" ht="34.5" customFormat="1" customHeight="1" s="45">
      <c r="B743" s="51" t="n">
        <v>3</v>
      </c>
      <c r="C743" s="264" t="n"/>
      <c r="D743" s="218" t="n"/>
      <c r="E743" s="218" t="n"/>
      <c r="F743" s="218" t="n"/>
      <c r="G743" s="218" t="n"/>
      <c r="H743" s="218" t="n"/>
      <c r="I743" s="219" t="n"/>
      <c r="J743" s="52" t="n"/>
      <c r="K743" s="268" t="n"/>
      <c r="L743" s="218" t="n"/>
      <c r="M743" s="218" t="n"/>
      <c r="N743" s="218" t="n"/>
      <c r="O743" s="220" t="n"/>
    </row>
    <row r="744" ht="19.95" customFormat="1" customHeight="1" s="45">
      <c r="B744" s="49" t="n"/>
      <c r="C744" s="262" t="inlineStr">
        <is>
          <t>İnce Yapı İşleri</t>
        </is>
      </c>
      <c r="D744" s="218" t="n"/>
      <c r="E744" s="218" t="n"/>
      <c r="F744" s="218" t="n"/>
      <c r="G744" s="218" t="n"/>
      <c r="H744" s="218" t="n"/>
      <c r="I744" s="219" t="n"/>
      <c r="J744" s="50" t="n"/>
      <c r="K744" s="263" t="n"/>
      <c r="L744" s="218" t="n"/>
      <c r="M744" s="218" t="n"/>
      <c r="N744" s="218" t="n"/>
      <c r="O744" s="220" t="n"/>
    </row>
    <row r="745" ht="35.4" customFormat="1" customHeight="1" s="45">
      <c r="B745" s="51" t="n">
        <v>1</v>
      </c>
      <c r="C745" s="264" t="n"/>
      <c r="D745" s="218" t="n"/>
      <c r="E745" s="218" t="n"/>
      <c r="F745" s="218" t="n"/>
      <c r="G745" s="218" t="n"/>
      <c r="H745" s="218" t="n"/>
      <c r="I745" s="219" t="n"/>
      <c r="J745" s="52" t="n"/>
      <c r="K745" s="268" t="n"/>
      <c r="L745" s="218" t="n"/>
      <c r="M745" s="218" t="n"/>
      <c r="N745" s="218" t="n"/>
      <c r="O745" s="220" t="n"/>
    </row>
    <row r="746" ht="35.4" customFormat="1" customHeight="1" s="45">
      <c r="B746" s="51" t="n">
        <v>2</v>
      </c>
      <c r="C746" s="264" t="n"/>
      <c r="D746" s="218" t="n"/>
      <c r="E746" s="218" t="n"/>
      <c r="F746" s="218" t="n"/>
      <c r="G746" s="218" t="n"/>
      <c r="H746" s="218" t="n"/>
      <c r="I746" s="219" t="n"/>
      <c r="J746" s="52" t="n"/>
      <c r="K746" s="268" t="n"/>
      <c r="L746" s="218" t="n"/>
      <c r="M746" s="218" t="n"/>
      <c r="N746" s="218" t="n"/>
      <c r="O746" s="220" t="n"/>
    </row>
    <row r="747" ht="35.4" customFormat="1" customHeight="1" s="45">
      <c r="B747" s="51" t="n">
        <v>3</v>
      </c>
      <c r="C747" s="264" t="n"/>
      <c r="D747" s="218" t="n"/>
      <c r="E747" s="218" t="n"/>
      <c r="F747" s="218" t="n"/>
      <c r="G747" s="218" t="n"/>
      <c r="H747" s="218" t="n"/>
      <c r="I747" s="219" t="n"/>
      <c r="J747" s="52" t="n"/>
      <c r="K747" s="268" t="n"/>
      <c r="L747" s="218" t="n"/>
      <c r="M747" s="218" t="n"/>
      <c r="N747" s="218" t="n"/>
      <c r="O747" s="220" t="n"/>
    </row>
    <row r="748" ht="19.95" customFormat="1" customHeight="1" s="45">
      <c r="B748" s="49" t="n"/>
      <c r="C748" s="262" t="inlineStr">
        <is>
          <t>Altyapı İşleri</t>
        </is>
      </c>
      <c r="D748" s="218" t="n"/>
      <c r="E748" s="218" t="n"/>
      <c r="F748" s="218" t="n"/>
      <c r="G748" s="218" t="n"/>
      <c r="H748" s="218" t="n"/>
      <c r="I748" s="219" t="n"/>
      <c r="J748" s="50" t="n"/>
      <c r="K748" s="263" t="n"/>
      <c r="L748" s="218" t="n"/>
      <c r="M748" s="218" t="n"/>
      <c r="N748" s="218" t="n"/>
      <c r="O748" s="220" t="n"/>
    </row>
    <row r="749" ht="35.4" customFormat="1" customHeight="1" s="45">
      <c r="B749" s="51" t="n">
        <v>1</v>
      </c>
      <c r="C749" s="264" t="n"/>
      <c r="D749" s="218" t="n"/>
      <c r="E749" s="218" t="n"/>
      <c r="F749" s="218" t="n"/>
      <c r="G749" s="218" t="n"/>
      <c r="H749" s="218" t="n"/>
      <c r="I749" s="219" t="n"/>
      <c r="J749" s="52" t="n"/>
      <c r="K749" s="268" t="n"/>
      <c r="L749" s="218" t="n"/>
      <c r="M749" s="218" t="n"/>
      <c r="N749" s="218" t="n"/>
      <c r="O749" s="220" t="n"/>
    </row>
    <row r="750" ht="35.4" customFormat="1" customHeight="1" s="45">
      <c r="B750" s="51" t="n">
        <v>2</v>
      </c>
      <c r="C750" s="264" t="n"/>
      <c r="D750" s="218" t="n"/>
      <c r="E750" s="218" t="n"/>
      <c r="F750" s="218" t="n"/>
      <c r="G750" s="218" t="n"/>
      <c r="H750" s="218" t="n"/>
      <c r="I750" s="219" t="n"/>
      <c r="J750" s="52" t="n"/>
      <c r="K750" s="268" t="n"/>
      <c r="L750" s="218" t="n"/>
      <c r="M750" s="218" t="n"/>
      <c r="N750" s="218" t="n"/>
      <c r="O750" s="220" t="n"/>
    </row>
    <row r="751" ht="35.4" customFormat="1" customHeight="1" s="45">
      <c r="B751" s="51" t="n">
        <v>3</v>
      </c>
      <c r="C751" s="264" t="n"/>
      <c r="D751" s="218" t="n"/>
      <c r="E751" s="218" t="n"/>
      <c r="F751" s="218" t="n"/>
      <c r="G751" s="218" t="n"/>
      <c r="H751" s="218" t="n"/>
      <c r="I751" s="219" t="n"/>
      <c r="J751" s="52" t="n"/>
      <c r="K751" s="268" t="n"/>
      <c r="L751" s="218" t="n"/>
      <c r="M751" s="218" t="n"/>
      <c r="N751" s="218" t="n"/>
      <c r="O751" s="220" t="n"/>
    </row>
    <row r="752" ht="19.95" customFormat="1" customHeight="1" s="45">
      <c r="B752" s="49" t="n"/>
      <c r="C752" s="262" t="inlineStr">
        <is>
          <t>Mekanik İşleri</t>
        </is>
      </c>
      <c r="D752" s="218" t="n"/>
      <c r="E752" s="218" t="n"/>
      <c r="F752" s="218" t="n"/>
      <c r="G752" s="218" t="n"/>
      <c r="H752" s="218" t="n"/>
      <c r="I752" s="219" t="n"/>
      <c r="J752" s="50" t="n"/>
      <c r="K752" s="263" t="n"/>
      <c r="L752" s="218" t="n"/>
      <c r="M752" s="218" t="n"/>
      <c r="N752" s="218" t="n"/>
      <c r="O752" s="220" t="n"/>
    </row>
    <row r="753" ht="35.4" customFormat="1" customHeight="1" s="45">
      <c r="B753" s="51" t="n">
        <v>1</v>
      </c>
      <c r="C753" s="264" t="n"/>
      <c r="D753" s="218" t="n"/>
      <c r="E753" s="218" t="n"/>
      <c r="F753" s="218" t="n"/>
      <c r="G753" s="218" t="n"/>
      <c r="H753" s="218" t="n"/>
      <c r="I753" s="219" t="n"/>
      <c r="J753" s="52" t="n"/>
      <c r="K753" s="268" t="n"/>
      <c r="L753" s="218" t="n"/>
      <c r="M753" s="218" t="n"/>
      <c r="N753" s="218" t="n"/>
      <c r="O753" s="220" t="n"/>
    </row>
    <row r="754" ht="35.4" customFormat="1" customHeight="1" s="45">
      <c r="B754" s="51" t="n">
        <v>2</v>
      </c>
      <c r="C754" s="264" t="n"/>
      <c r="D754" s="218" t="n"/>
      <c r="E754" s="218" t="n"/>
      <c r="F754" s="218" t="n"/>
      <c r="G754" s="218" t="n"/>
      <c r="H754" s="218" t="n"/>
      <c r="I754" s="219" t="n"/>
      <c r="J754" s="52" t="n"/>
      <c r="K754" s="268" t="n"/>
      <c r="L754" s="218" t="n"/>
      <c r="M754" s="218" t="n"/>
      <c r="N754" s="218" t="n"/>
      <c r="O754" s="220" t="n"/>
    </row>
    <row r="755" ht="35.4" customFormat="1" customHeight="1" s="45">
      <c r="B755" s="51" t="n">
        <v>3</v>
      </c>
      <c r="C755" s="264" t="n"/>
      <c r="D755" s="218" t="n"/>
      <c r="E755" s="218" t="n"/>
      <c r="F755" s="218" t="n"/>
      <c r="G755" s="218" t="n"/>
      <c r="H755" s="218" t="n"/>
      <c r="I755" s="219" t="n"/>
      <c r="J755" s="52" t="n"/>
      <c r="K755" s="268" t="n"/>
      <c r="L755" s="218" t="n"/>
      <c r="M755" s="218" t="n"/>
      <c r="N755" s="218" t="n"/>
      <c r="O755" s="220" t="n"/>
    </row>
    <row r="756" ht="19.95" customFormat="1" customHeight="1" s="45">
      <c r="B756" s="49" t="n"/>
      <c r="C756" s="262" t="inlineStr">
        <is>
          <t>Elektrik İşleri</t>
        </is>
      </c>
      <c r="D756" s="218" t="n"/>
      <c r="E756" s="218" t="n"/>
      <c r="F756" s="218" t="n"/>
      <c r="G756" s="218" t="n"/>
      <c r="H756" s="218" t="n"/>
      <c r="I756" s="219" t="n"/>
      <c r="J756" s="50" t="n"/>
      <c r="K756" s="263" t="n"/>
      <c r="L756" s="218" t="n"/>
      <c r="M756" s="218" t="n"/>
      <c r="N756" s="218" t="n"/>
      <c r="O756" s="220" t="n"/>
    </row>
    <row r="757" ht="35.4" customFormat="1" customHeight="1" s="45">
      <c r="B757" s="51" t="n">
        <v>1</v>
      </c>
      <c r="C757" s="264" t="n"/>
      <c r="D757" s="218" t="n"/>
      <c r="E757" s="218" t="n"/>
      <c r="F757" s="218" t="n"/>
      <c r="G757" s="218" t="n"/>
      <c r="H757" s="218" t="n"/>
      <c r="I757" s="219" t="n"/>
      <c r="J757" s="52" t="n"/>
      <c r="K757" s="268" t="n"/>
      <c r="L757" s="218" t="n"/>
      <c r="M757" s="218" t="n"/>
      <c r="N757" s="218" t="n"/>
      <c r="O757" s="220" t="n"/>
    </row>
    <row r="758" ht="35.4" customFormat="1" customHeight="1" s="45">
      <c r="B758" s="51" t="n">
        <v>2</v>
      </c>
      <c r="C758" s="264" t="n"/>
      <c r="D758" s="218" t="n"/>
      <c r="E758" s="218" t="n"/>
      <c r="F758" s="218" t="n"/>
      <c r="G758" s="218" t="n"/>
      <c r="H758" s="218" t="n"/>
      <c r="I758" s="219" t="n"/>
      <c r="J758" s="52" t="n"/>
      <c r="K758" s="268" t="n"/>
      <c r="L758" s="218" t="n"/>
      <c r="M758" s="218" t="n"/>
      <c r="N758" s="218" t="n"/>
      <c r="O758" s="220" t="n"/>
    </row>
    <row r="759" ht="19.95" customFormat="1" customHeight="1" s="45">
      <c r="B759" s="49" t="n"/>
      <c r="C759" s="262" t="inlineStr">
        <is>
          <t>İSG</t>
        </is>
      </c>
      <c r="D759" s="218" t="n"/>
      <c r="E759" s="218" t="n"/>
      <c r="F759" s="218" t="n"/>
      <c r="G759" s="218" t="n"/>
      <c r="H759" s="218" t="n"/>
      <c r="I759" s="219" t="n"/>
      <c r="J759" s="50" t="n"/>
      <c r="K759" s="263" t="n"/>
      <c r="L759" s="218" t="n"/>
      <c r="M759" s="218" t="n"/>
      <c r="N759" s="218" t="n"/>
      <c r="O759" s="220" t="n"/>
    </row>
    <row r="760" ht="35.4" customFormat="1" customHeight="1" s="45">
      <c r="B760" s="51" t="n">
        <v>1</v>
      </c>
      <c r="C760" s="264" t="n"/>
      <c r="D760" s="218" t="n"/>
      <c r="E760" s="218" t="n"/>
      <c r="F760" s="218" t="n"/>
      <c r="G760" s="218" t="n"/>
      <c r="H760" s="218" t="n"/>
      <c r="I760" s="219" t="n"/>
      <c r="J760" s="52" t="n"/>
      <c r="K760" s="268" t="n"/>
      <c r="L760" s="218" t="n"/>
      <c r="M760" s="218" t="n"/>
      <c r="N760" s="218" t="n"/>
      <c r="O760" s="220" t="n"/>
    </row>
    <row r="761" ht="35.4" customFormat="1" customHeight="1" s="45">
      <c r="B761" s="51" t="n">
        <v>2</v>
      </c>
      <c r="C761" s="264" t="n"/>
      <c r="D761" s="218" t="n"/>
      <c r="E761" s="218" t="n"/>
      <c r="F761" s="218" t="n"/>
      <c r="G761" s="218" t="n"/>
      <c r="H761" s="218" t="n"/>
      <c r="I761" s="219" t="n"/>
      <c r="J761" s="52" t="n"/>
      <c r="K761" s="268" t="n"/>
      <c r="L761" s="218" t="n"/>
      <c r="M761" s="218" t="n"/>
      <c r="N761" s="218" t="n"/>
      <c r="O761" s="220" t="n"/>
    </row>
    <row r="762" ht="36" customFormat="1" customHeight="1" s="45">
      <c r="B762" s="51" t="n">
        <v>3</v>
      </c>
      <c r="C762" s="264" t="n"/>
      <c r="D762" s="218" t="n"/>
      <c r="E762" s="218" t="n"/>
      <c r="F762" s="218" t="n"/>
      <c r="G762" s="218" t="n"/>
      <c r="H762" s="218" t="n"/>
      <c r="I762" s="219" t="n"/>
      <c r="J762" s="52" t="n"/>
      <c r="K762" s="268" t="n"/>
      <c r="L762" s="218" t="n"/>
      <c r="M762" s="218" t="n"/>
      <c r="N762" s="218" t="n"/>
      <c r="O762" s="220" t="n"/>
    </row>
    <row r="763" ht="19.95" customFormat="1" customHeight="1" s="45">
      <c r="B763" s="49" t="n"/>
      <c r="C763" s="262" t="inlineStr">
        <is>
          <t>Teknik Ofis İşleri</t>
        </is>
      </c>
      <c r="D763" s="218" t="n"/>
      <c r="E763" s="218" t="n"/>
      <c r="F763" s="218" t="n"/>
      <c r="G763" s="218" t="n"/>
      <c r="H763" s="218" t="n"/>
      <c r="I763" s="219" t="n"/>
      <c r="J763" s="50" t="n"/>
      <c r="K763" s="263" t="n"/>
      <c r="L763" s="218" t="n"/>
      <c r="M763" s="218" t="n"/>
      <c r="N763" s="218" t="n"/>
      <c r="O763" s="220" t="n"/>
    </row>
    <row r="764" ht="35.25" customFormat="1" customHeight="1" s="45">
      <c r="B764" s="51" t="n">
        <v>1</v>
      </c>
      <c r="C764" s="264" t="n"/>
      <c r="D764" s="218" t="n"/>
      <c r="E764" s="218" t="n"/>
      <c r="F764" s="218" t="n"/>
      <c r="G764" s="218" t="n"/>
      <c r="H764" s="218" t="n"/>
      <c r="I764" s="219" t="n"/>
      <c r="J764" s="52" t="n"/>
      <c r="K764" s="268" t="n"/>
      <c r="L764" s="218" t="n"/>
      <c r="M764" s="218" t="n"/>
      <c r="N764" s="218" t="n"/>
      <c r="O764" s="220" t="n"/>
    </row>
    <row r="765" ht="35.25" customFormat="1" customHeight="1" s="45">
      <c r="B765" s="51" t="n">
        <v>2</v>
      </c>
      <c r="C765" s="264" t="n"/>
      <c r="D765" s="218" t="n"/>
      <c r="E765" s="218" t="n"/>
      <c r="F765" s="218" t="n"/>
      <c r="G765" s="218" t="n"/>
      <c r="H765" s="218" t="n"/>
      <c r="I765" s="219" t="n"/>
      <c r="J765" s="52" t="n"/>
      <c r="K765" s="267" t="n"/>
      <c r="L765" s="218" t="n"/>
      <c r="M765" s="218" t="n"/>
      <c r="N765" s="218" t="n"/>
      <c r="O765" s="220" t="n"/>
    </row>
    <row r="766" ht="35.25" customFormat="1" customHeight="1" s="45" thickBot="1">
      <c r="B766" s="51" t="n">
        <v>3</v>
      </c>
      <c r="C766" s="269" t="n"/>
      <c r="D766" s="218" t="n"/>
      <c r="E766" s="218" t="n"/>
      <c r="F766" s="218" t="n"/>
      <c r="G766" s="218" t="n"/>
      <c r="H766" s="218" t="n"/>
      <c r="I766" s="219" t="n"/>
      <c r="J766" s="52" t="n"/>
      <c r="K766" s="267" t="n"/>
      <c r="L766" s="218" t="n"/>
      <c r="M766" s="218" t="n"/>
      <c r="N766" s="218" t="n"/>
      <c r="O766" s="220" t="n"/>
    </row>
    <row r="767" ht="18.75" customHeight="1">
      <c r="B767" s="270" t="inlineStr">
        <is>
          <t>İMZA</t>
        </is>
      </c>
      <c r="C767" s="74" t="inlineStr">
        <is>
          <t>SİGMA MÜHENDİSLİK HİZMETLERİ DEKORASYON İNŞAAT LTD. ŞTİ.</t>
        </is>
      </c>
      <c r="D767" s="214" t="n"/>
      <c r="E767" s="214" t="n"/>
      <c r="F767" s="214" t="n"/>
      <c r="G767" s="214" t="n"/>
      <c r="H767" s="214" t="n"/>
      <c r="I767" s="215" t="n"/>
      <c r="J767" s="76" t="inlineStr">
        <is>
          <t>ANA YÜKLENİCİ</t>
        </is>
      </c>
      <c r="K767" s="214" t="n"/>
      <c r="L767" s="214" t="n"/>
      <c r="M767" s="214" t="n"/>
      <c r="N767" s="214" t="n"/>
      <c r="O767" s="216" t="n"/>
    </row>
    <row r="768" ht="18.75" customHeight="1">
      <c r="B768" s="271" t="n"/>
      <c r="C768" s="272" t="n"/>
      <c r="D768" s="218" t="n"/>
      <c r="E768" s="218" t="n"/>
      <c r="F768" s="218" t="n"/>
      <c r="G768" s="218" t="n"/>
      <c r="H768" s="218" t="n"/>
      <c r="I768" s="219" t="n"/>
      <c r="J768" s="56" t="n"/>
      <c r="K768" s="56" t="n"/>
      <c r="L768" s="56" t="n"/>
      <c r="M768" s="56" t="n"/>
      <c r="N768" s="56" t="n"/>
      <c r="O768" s="57" t="n"/>
    </row>
    <row r="769" ht="14.25" customHeight="1">
      <c r="B769" s="271" t="n"/>
      <c r="C769" s="80" t="n"/>
      <c r="D769" s="273" t="n"/>
      <c r="E769" s="273" t="n"/>
      <c r="F769" s="273" t="n"/>
      <c r="G769" s="273" t="n"/>
      <c r="H769" s="273" t="n"/>
      <c r="I769" s="274" t="n"/>
      <c r="J769" s="80" t="n"/>
      <c r="K769" s="273" t="n"/>
      <c r="L769" s="273" t="n"/>
      <c r="M769" s="273" t="n"/>
      <c r="N769" s="273" t="n"/>
      <c r="O769" s="274" t="n"/>
    </row>
    <row r="770" ht="14.25" customHeight="1">
      <c r="B770" s="271" t="n"/>
      <c r="C770" s="275" t="n"/>
      <c r="I770" s="276" t="n"/>
      <c r="J770" s="275" t="n"/>
      <c r="O770" s="276" t="n"/>
    </row>
    <row r="771" ht="14.25" customHeight="1" thickBot="1">
      <c r="B771" s="277" t="n"/>
      <c r="C771" s="278" t="n"/>
      <c r="D771" s="250" t="n"/>
      <c r="E771" s="250" t="n"/>
      <c r="F771" s="250" t="n"/>
      <c r="G771" s="250" t="n"/>
      <c r="H771" s="250" t="n"/>
      <c r="I771" s="240" t="n"/>
      <c r="J771" s="278" t="n"/>
      <c r="K771" s="250" t="n"/>
      <c r="L771" s="250" t="n"/>
      <c r="M771" s="250" t="n"/>
      <c r="N771" s="250" t="n"/>
      <c r="O771" s="240" t="n"/>
    </row>
    <row r="789" ht="10.8" customHeight="1" thickBot="1"/>
    <row r="790" ht="87" customHeight="1">
      <c r="B790" s="213" t="n"/>
      <c r="C790" s="214" t="n"/>
      <c r="D790" s="214" t="n"/>
      <c r="E790" s="215" t="n"/>
      <c r="F790" s="97" t="inlineStr">
        <is>
          <t>GÜNLÜK FAALİYET RAPORU
02780-BGC-SGM-XXX-XXX-DPR-IPY-100001</t>
        </is>
      </c>
      <c r="G790" s="214" t="n"/>
      <c r="H790" s="214" t="n"/>
      <c r="I790" s="214" t="n"/>
      <c r="J790" s="214" t="n"/>
      <c r="K790" s="215" t="n"/>
      <c r="L790" s="99" t="inlineStr">
        <is>
          <t>LOGO</t>
        </is>
      </c>
      <c r="M790" s="214" t="n"/>
      <c r="N790" s="214" t="n"/>
      <c r="O790" s="216" t="n"/>
      <c r="U790" s="2" t="n"/>
    </row>
    <row r="791" ht="37.5" customHeight="1">
      <c r="B791" s="217" t="inlineStr">
        <is>
          <t>İŞVEREN</t>
        </is>
      </c>
      <c r="C791" s="218" t="n"/>
      <c r="D791" s="218" t="n"/>
      <c r="E791" s="219" t="n"/>
      <c r="F791" s="198" t="inlineStr">
        <is>
          <t>ANA YÜKLENİCİ</t>
        </is>
      </c>
      <c r="G791" s="219" t="n"/>
      <c r="H791" s="199" t="n"/>
      <c r="I791" s="219" t="n"/>
      <c r="J791" s="200" t="inlineStr">
        <is>
          <t>TARİH</t>
        </is>
      </c>
      <c r="K791" s="218" t="n"/>
      <c r="L791" s="219" t="n"/>
      <c r="M791" s="203" t="inlineStr">
        <is>
          <t>XX.0X.2026</t>
        </is>
      </c>
      <c r="N791" s="218" t="n"/>
      <c r="O791" s="220" t="n"/>
    </row>
    <row r="792" ht="30.75" customHeight="1">
      <c r="B792" s="204" t="inlineStr">
        <is>
          <t>Halk Gayrimenkul Yatırım Ortaklığı A.Ş.</t>
        </is>
      </c>
      <c r="C792" s="218" t="n"/>
      <c r="D792" s="218" t="n"/>
      <c r="E792" s="219" t="n"/>
      <c r="F792" s="205" t="inlineStr">
        <is>
          <t>-</t>
        </is>
      </c>
      <c r="G792" s="219" t="n"/>
      <c r="H792" s="207" t="n"/>
      <c r="I792" s="219" t="n"/>
      <c r="J792" s="201" t="inlineStr">
        <is>
          <t>HAVA DURUMU</t>
        </is>
      </c>
      <c r="K792" s="218" t="n"/>
      <c r="L792" s="219" t="n"/>
      <c r="M792" s="221" t="inlineStr">
        <is>
          <t>Açık / 25°C</t>
        </is>
      </c>
      <c r="N792" s="218" t="n"/>
      <c r="O792" s="220" t="n"/>
    </row>
    <row r="793" ht="34.5" customHeight="1" thickBot="1">
      <c r="B793" s="170" t="inlineStr">
        <is>
          <t>HALK GYO ASM BAĞCILAR PROJESİ</t>
        </is>
      </c>
      <c r="C793" s="222" t="n"/>
      <c r="D793" s="222" t="n"/>
      <c r="E793" s="222" t="n"/>
      <c r="F793" s="222" t="n"/>
      <c r="G793" s="222" t="n"/>
      <c r="H793" s="222" t="n"/>
      <c r="I793" s="223" t="n"/>
      <c r="J793" s="224" t="inlineStr">
        <is>
          <t>İŞ BİTİM TARİHİ</t>
        </is>
      </c>
      <c r="K793" s="222" t="n"/>
      <c r="L793" s="223" t="n"/>
      <c r="M793" s="225" t="n"/>
      <c r="N793" s="222" t="n"/>
      <c r="O793" s="226" t="n"/>
    </row>
    <row r="794" ht="17.25" customHeight="1">
      <c r="B794" s="227" t="inlineStr">
        <is>
          <t>İŞVEREN / PROJE YÖNETİMİ</t>
        </is>
      </c>
      <c r="C794" s="228" t="n"/>
      <c r="D794" s="228" t="n"/>
      <c r="E794" s="229" t="n"/>
      <c r="F794" s="230" t="inlineStr">
        <is>
          <t>Kümülatif</t>
        </is>
      </c>
      <c r="G794" s="231" t="inlineStr">
        <is>
          <t>YÜKLENİCİ FİRMA
Teknik Kadro Dahil</t>
        </is>
      </c>
      <c r="H794" s="228" t="n"/>
      <c r="I794" s="228" t="n"/>
      <c r="J794" s="232" t="inlineStr">
        <is>
          <t>Kümülatif</t>
        </is>
      </c>
      <c r="K794" s="187" t="inlineStr">
        <is>
          <t>İŞ MAKİNALARI</t>
        </is>
      </c>
      <c r="L794" s="229" t="n"/>
      <c r="M794" s="191" t="inlineStr">
        <is>
          <t>Giriş Tarihi</t>
        </is>
      </c>
      <c r="N794" s="191" t="inlineStr">
        <is>
          <t>Çıkış Tarihi</t>
        </is>
      </c>
      <c r="O794" s="233" t="inlineStr">
        <is>
          <t>Puantaj (Saat)</t>
        </is>
      </c>
    </row>
    <row r="795" ht="17.25" customHeight="1" thickBot="1">
      <c r="B795" s="234" t="n"/>
      <c r="C795" s="235" t="n"/>
      <c r="D795" s="235" t="n"/>
      <c r="E795" s="236" t="n"/>
      <c r="F795" s="237" t="n"/>
      <c r="G795" s="234" t="n"/>
      <c r="H795" s="235" t="n"/>
      <c r="I795" s="235" t="n"/>
      <c r="J795" s="238" t="n"/>
      <c r="K795" s="239" t="n"/>
      <c r="L795" s="240" t="n"/>
      <c r="M795" s="241" t="n"/>
      <c r="N795" s="241" t="n"/>
      <c r="O795" s="237" t="n"/>
    </row>
    <row r="796" ht="22.5" customHeight="1">
      <c r="B796" s="242" t="inlineStr">
        <is>
          <t>Proje Müdürü Saha-PY</t>
        </is>
      </c>
      <c r="C796" s="240" t="n"/>
      <c r="D796" s="3" t="n">
        <v>0</v>
      </c>
      <c r="E796" s="4" t="n"/>
      <c r="F796" s="5">
        <f>D796</f>
        <v/>
      </c>
      <c r="G796" s="6" t="inlineStr">
        <is>
          <t>Şantiye Şefi-Mukas</t>
        </is>
      </c>
      <c r="H796" s="7" t="n">
        <v>0</v>
      </c>
      <c r="I796" s="8" t="n"/>
      <c r="J796" s="5">
        <f>H796</f>
        <v/>
      </c>
      <c r="K796" s="162" t="inlineStr">
        <is>
          <t>JCB</t>
        </is>
      </c>
      <c r="L796" s="219" t="n"/>
      <c r="M796" s="9" t="n"/>
      <c r="N796" s="9" t="n"/>
      <c r="O796" s="10" t="n">
        <v>0</v>
      </c>
    </row>
    <row r="797" ht="26.25" customHeight="1">
      <c r="B797" s="242" t="inlineStr">
        <is>
          <t>Proje Müdürü Merkez-PY</t>
        </is>
      </c>
      <c r="C797" s="240" t="n"/>
      <c r="D797" s="3" t="n">
        <v>0</v>
      </c>
      <c r="E797" s="11" t="n"/>
      <c r="F797" s="5">
        <f>D797</f>
        <v/>
      </c>
      <c r="G797" s="6" t="inlineStr">
        <is>
          <t>İnşaat Mühendisi</t>
        </is>
      </c>
      <c r="H797" s="7" t="n">
        <v>0</v>
      </c>
      <c r="I797" s="12" t="n"/>
      <c r="J797" s="5">
        <f>H797</f>
        <v/>
      </c>
      <c r="K797" s="162" t="inlineStr">
        <is>
          <t>Fore Kazık Makinası</t>
        </is>
      </c>
      <c r="L797" s="219" t="n"/>
      <c r="M797" s="9" t="n"/>
      <c r="N797" s="9" t="n"/>
      <c r="O797" s="10" t="n">
        <v>0</v>
      </c>
    </row>
    <row r="798" ht="24.75" customHeight="1">
      <c r="B798" s="6" t="inlineStr">
        <is>
          <t>Proje Koordinatörü-PY</t>
        </is>
      </c>
      <c r="C798" s="219" t="n"/>
      <c r="D798" s="3" t="n">
        <v>0</v>
      </c>
      <c r="E798" s="11" t="n"/>
      <c r="F798" s="5">
        <f>D798</f>
        <v/>
      </c>
      <c r="G798" s="6" t="inlineStr">
        <is>
          <t>Elektrik Mühendisi</t>
        </is>
      </c>
      <c r="H798" s="7" t="n">
        <v>0</v>
      </c>
      <c r="I798" s="12" t="n"/>
      <c r="J798" s="5">
        <f>H798</f>
        <v/>
      </c>
      <c r="K798" s="162" t="inlineStr">
        <is>
          <t>Beton Pompası</t>
        </is>
      </c>
      <c r="L798" s="219" t="n"/>
      <c r="M798" s="9" t="n"/>
      <c r="N798" s="9" t="n"/>
      <c r="O798" s="10" t="n">
        <v>0</v>
      </c>
    </row>
    <row r="799" ht="23.25" customHeight="1">
      <c r="B799" s="162" t="inlineStr">
        <is>
          <t>Proje Müdürü Mimar-PY</t>
        </is>
      </c>
      <c r="C799" s="219" t="n"/>
      <c r="D799" s="3" t="n">
        <v>0</v>
      </c>
      <c r="E799" s="11" t="n"/>
      <c r="F799" s="5">
        <f>D799</f>
        <v/>
      </c>
      <c r="G799" s="6" t="inlineStr">
        <is>
          <t>Makine Mühendisi</t>
        </is>
      </c>
      <c r="H799" s="7" t="n">
        <v>0</v>
      </c>
      <c r="I799" s="12" t="n"/>
      <c r="J799" s="5">
        <f>H799</f>
        <v/>
      </c>
      <c r="K799" s="162" t="inlineStr">
        <is>
          <t>Ekskavatör</t>
        </is>
      </c>
      <c r="L799" s="219" t="n"/>
      <c r="M799" s="9" t="n"/>
      <c r="N799" s="9" t="n"/>
      <c r="O799" s="10" t="n">
        <v>0</v>
      </c>
    </row>
    <row r="800" ht="26.25" customHeight="1">
      <c r="B800" s="162" t="inlineStr">
        <is>
          <t>Proje Elektrik Yüksek Mühendisi-PY</t>
        </is>
      </c>
      <c r="C800" s="219" t="n"/>
      <c r="D800" s="3" t="n">
        <v>0</v>
      </c>
      <c r="E800" s="11" t="n"/>
      <c r="F800" s="5">
        <f>D800</f>
        <v/>
      </c>
      <c r="G800" s="6" t="inlineStr">
        <is>
          <t>Formen</t>
        </is>
      </c>
      <c r="H800" s="7" t="n">
        <v>0</v>
      </c>
      <c r="I800" s="12" t="n"/>
      <c r="J800" s="5">
        <f>H800</f>
        <v/>
      </c>
      <c r="K800" s="162" t="inlineStr">
        <is>
          <t>Kamyon</t>
        </is>
      </c>
      <c r="L800" s="219" t="n"/>
      <c r="M800" s="9" t="n"/>
      <c r="N800" s="9" t="n"/>
      <c r="O800" s="10" t="n">
        <v>0</v>
      </c>
    </row>
    <row r="801" ht="26.25" customHeight="1">
      <c r="B801" s="162" t="inlineStr">
        <is>
          <t>Proje Müdürü Makine Mühendisi-PY</t>
        </is>
      </c>
      <c r="C801" s="219" t="n"/>
      <c r="D801" s="3" t="n">
        <v>0</v>
      </c>
      <c r="E801" s="11" t="n"/>
      <c r="F801" s="5">
        <f>D801</f>
        <v/>
      </c>
      <c r="G801" s="6" t="inlineStr">
        <is>
          <t>İş Güvenliği Uzmanı</t>
        </is>
      </c>
      <c r="H801" s="7" t="n">
        <v>0</v>
      </c>
      <c r="I801" s="12" t="n"/>
      <c r="J801" s="5">
        <f>H801</f>
        <v/>
      </c>
      <c r="K801" s="162" t="inlineStr">
        <is>
          <t>Kırıcılı Ekskavatör</t>
        </is>
      </c>
      <c r="L801" s="219" t="n"/>
      <c r="M801" s="9" t="n"/>
      <c r="N801" s="9" t="n"/>
      <c r="O801" s="10" t="n">
        <v>0</v>
      </c>
    </row>
    <row r="802" ht="26.25" customHeight="1">
      <c r="B802" s="162" t="n"/>
      <c r="C802" s="219" t="n"/>
      <c r="D802" s="3" t="n"/>
      <c r="E802" s="11" t="n"/>
      <c r="F802" s="5" t="n"/>
      <c r="G802" s="6" t="inlineStr">
        <is>
          <t>Saha İşçisi</t>
        </is>
      </c>
      <c r="H802" s="7" t="n">
        <v>0</v>
      </c>
      <c r="I802" s="12" t="n"/>
      <c r="J802" s="5">
        <f>H802</f>
        <v/>
      </c>
      <c r="K802" s="162" t="inlineStr">
        <is>
          <t>Vinç</t>
        </is>
      </c>
      <c r="L802" s="219" t="n"/>
      <c r="M802" s="9" t="n"/>
      <c r="N802" s="9" t="n"/>
      <c r="O802" s="10" t="n">
        <v>0</v>
      </c>
    </row>
    <row r="803" ht="26.25" customHeight="1">
      <c r="B803" s="162" t="n"/>
      <c r="C803" s="219" t="n"/>
      <c r="D803" s="3" t="n"/>
      <c r="E803" s="11" t="n"/>
      <c r="F803" s="5" t="n"/>
      <c r="G803" s="6" t="inlineStr">
        <is>
          <t>Topoğraf</t>
        </is>
      </c>
      <c r="H803" s="7" t="n">
        <v>0</v>
      </c>
      <c r="I803" s="12" t="n"/>
      <c r="J803" s="5">
        <f>H803</f>
        <v/>
      </c>
      <c r="K803" s="162" t="inlineStr">
        <is>
          <t>Silindir</t>
        </is>
      </c>
      <c r="L803" s="219" t="n"/>
      <c r="M803" s="9" t="n"/>
      <c r="N803" s="9" t="n"/>
      <c r="O803" s="10" t="n">
        <v>0</v>
      </c>
    </row>
    <row r="804" ht="26.25" customHeight="1">
      <c r="B804" s="162" t="n"/>
      <c r="C804" s="219" t="n"/>
      <c r="D804" s="3" t="n"/>
      <c r="E804" s="11" t="n"/>
      <c r="F804" s="5" t="n"/>
      <c r="G804" s="6" t="n"/>
      <c r="H804" s="7" t="n"/>
      <c r="I804" s="12" t="n"/>
      <c r="J804" s="13" t="n"/>
      <c r="K804" s="162" t="n"/>
      <c r="L804" s="219" t="n"/>
      <c r="M804" s="9" t="n"/>
      <c r="N804" s="9" t="n"/>
      <c r="O804" s="10" t="n"/>
    </row>
    <row r="805" ht="26.25" customHeight="1">
      <c r="B805" s="243" t="n"/>
      <c r="C805" s="219" t="n"/>
      <c r="D805" s="14" t="n"/>
      <c r="E805" s="11" t="n"/>
      <c r="F805" s="5" t="n"/>
      <c r="G805" s="6" t="n"/>
      <c r="H805" s="15" t="n"/>
      <c r="I805" s="12" t="n"/>
      <c r="J805" s="13" t="n"/>
      <c r="K805" s="244" t="inlineStr">
        <is>
          <t xml:space="preserve"> Toplam</t>
        </is>
      </c>
      <c r="L805" s="218" t="n"/>
      <c r="M805" s="218" t="n"/>
      <c r="N805" s="219" t="n"/>
      <c r="O805" s="16">
        <f>SUM(O796:O804)</f>
        <v/>
      </c>
    </row>
    <row r="806" ht="26.25" customHeight="1">
      <c r="B806" s="243" t="n"/>
      <c r="C806" s="219" t="n"/>
      <c r="D806" s="14" t="n"/>
      <c r="E806" s="11" t="n"/>
      <c r="F806" s="5" t="n"/>
      <c r="G806" s="6" t="n"/>
      <c r="H806" s="15" t="n"/>
      <c r="I806" s="12" t="n"/>
      <c r="J806" s="13" t="n"/>
      <c r="K806" s="245" t="inlineStr">
        <is>
          <t>GÜNLÜK GELEN MALZEME LİSTESİ</t>
        </is>
      </c>
      <c r="L806" s="218" t="n"/>
      <c r="M806" s="218" t="n"/>
      <c r="N806" s="218" t="n"/>
      <c r="O806" s="220" t="n"/>
    </row>
    <row r="807" ht="26.25" customHeight="1">
      <c r="A807" s="1" t="inlineStr">
        <is>
          <t xml:space="preserve"> </t>
        </is>
      </c>
      <c r="B807" s="243" t="n"/>
      <c r="C807" s="219" t="n"/>
      <c r="D807" s="3" t="n"/>
      <c r="E807" s="17" t="n"/>
      <c r="F807" s="5" t="n"/>
      <c r="G807" s="6" t="n"/>
      <c r="H807" s="15" t="n"/>
      <c r="I807" s="18" t="n"/>
      <c r="J807" s="13" t="n"/>
      <c r="K807" s="246" t="n"/>
      <c r="L807" s="218" t="n"/>
      <c r="M807" s="219" t="n"/>
      <c r="N807" s="16" t="n"/>
      <c r="O807" s="220" t="n"/>
    </row>
    <row r="808" ht="26.25" customHeight="1">
      <c r="B808" s="243" t="n"/>
      <c r="C808" s="219" t="n"/>
      <c r="D808" s="3" t="n"/>
      <c r="E808" s="17" t="n"/>
      <c r="F808" s="5" t="n"/>
      <c r="G808" s="6" t="n"/>
      <c r="H808" s="15" t="n"/>
      <c r="I808" s="18" t="n"/>
      <c r="J808" s="13" t="n"/>
      <c r="K808" s="246" t="n"/>
      <c r="L808" s="218" t="n"/>
      <c r="M808" s="219" t="n"/>
      <c r="N808" s="16" t="n"/>
      <c r="O808" s="220" t="n"/>
    </row>
    <row r="809" ht="26.25" customHeight="1">
      <c r="B809" s="21" t="n"/>
      <c r="C809" s="219" t="n"/>
      <c r="D809" s="19" t="n"/>
      <c r="E809" s="20" t="n"/>
      <c r="F809" s="5" t="n"/>
      <c r="G809" s="21" t="n"/>
      <c r="H809" s="22" t="n"/>
      <c r="I809" s="23" t="n"/>
      <c r="J809" s="13" t="n"/>
      <c r="K809" s="246" t="n"/>
      <c r="L809" s="218" t="n"/>
      <c r="M809" s="219" t="n"/>
      <c r="N809" s="247" t="n"/>
      <c r="O809" s="220" t="n"/>
    </row>
    <row r="810" ht="27" customHeight="1">
      <c r="B810" s="27" t="inlineStr">
        <is>
          <t>Toplam</t>
        </is>
      </c>
      <c r="C810" s="219" t="n"/>
      <c r="D810" s="24">
        <f>SUM(D796:D809)</f>
        <v/>
      </c>
      <c r="E810" s="25" t="inlineStr">
        <is>
          <t>G. Toplam</t>
        </is>
      </c>
      <c r="F810" s="58">
        <f>SUM(F796:F809)</f>
        <v/>
      </c>
      <c r="G810" s="27" t="inlineStr">
        <is>
          <t>Toplam</t>
        </is>
      </c>
      <c r="H810" s="28">
        <f>SUM(H796:H809)</f>
        <v/>
      </c>
      <c r="I810" s="29" t="inlineStr">
        <is>
          <t>G. Toplam</t>
        </is>
      </c>
      <c r="J810" s="26">
        <f>SUM(J796:J809)</f>
        <v/>
      </c>
      <c r="K810" s="246" t="n"/>
      <c r="L810" s="218" t="n"/>
      <c r="M810" s="219" t="n"/>
      <c r="N810" s="247" t="n"/>
      <c r="O810" s="220" t="n"/>
    </row>
    <row r="811" ht="27" customHeight="1" thickBot="1">
      <c r="B811" s="143" t="inlineStr">
        <is>
          <t>GENEL TOPLAM</t>
        </is>
      </c>
      <c r="C811" s="222" t="n"/>
      <c r="D811" s="222" t="n"/>
      <c r="E811" s="222" t="n"/>
      <c r="F811" s="222" t="n"/>
      <c r="G811" s="222" t="n"/>
      <c r="H811" s="222" t="n"/>
      <c r="I811" s="222" t="n"/>
      <c r="J811" s="30">
        <f>F810+J810</f>
        <v/>
      </c>
      <c r="K811" s="246" t="n"/>
      <c r="L811" s="218" t="n"/>
      <c r="M811" s="219" t="n"/>
      <c r="N811" s="247" t="n"/>
      <c r="O811" s="220" t="n"/>
    </row>
    <row r="812" ht="12.6" customHeight="1">
      <c r="B812" s="248" t="inlineStr">
        <is>
          <t>ALTYÜKLENİCİ EKİPLERİ PUANTAJI</t>
        </is>
      </c>
      <c r="C812" s="228" t="n"/>
      <c r="D812" s="228" t="n"/>
      <c r="E812" s="228" t="n"/>
      <c r="F812" s="228" t="n"/>
      <c r="G812" s="228" t="n"/>
      <c r="H812" s="228" t="n"/>
      <c r="I812" s="228" t="n"/>
      <c r="J812" s="228" t="n"/>
      <c r="K812" s="228" t="n"/>
      <c r="L812" s="228" t="n"/>
      <c r="M812" s="228" t="n"/>
      <c r="N812" s="228" t="n"/>
      <c r="O812" s="249" t="n"/>
    </row>
    <row r="813" ht="8.4" customHeight="1">
      <c r="B813" s="239" t="n"/>
      <c r="C813" s="250" t="n"/>
      <c r="D813" s="250" t="n"/>
      <c r="E813" s="250" t="n"/>
      <c r="F813" s="250" t="n"/>
      <c r="G813" s="250" t="n"/>
      <c r="H813" s="250" t="n"/>
      <c r="I813" s="250" t="n"/>
      <c r="J813" s="250" t="n"/>
      <c r="K813" s="250" t="n"/>
      <c r="L813" s="250" t="n"/>
      <c r="M813" s="250" t="n"/>
      <c r="N813" s="250" t="n"/>
      <c r="O813" s="251" t="n"/>
    </row>
    <row r="814" ht="22.5" customHeight="1">
      <c r="B814" s="127" t="inlineStr">
        <is>
          <t>KABA İNŞAAT EKİBİ</t>
        </is>
      </c>
      <c r="C814" s="218" t="n"/>
      <c r="D814" s="218" t="n"/>
      <c r="E814" s="219" t="n"/>
      <c r="F814" s="129" t="inlineStr">
        <is>
          <t>EKİP</t>
        </is>
      </c>
      <c r="G814" s="218" t="n"/>
      <c r="H814" s="218" t="n"/>
      <c r="I814" s="219" t="n"/>
      <c r="J814" s="133" t="inlineStr">
        <is>
          <t>HAFRİYAT EKİBİ</t>
        </is>
      </c>
      <c r="K814" s="218" t="n"/>
      <c r="L814" s="219" t="n"/>
      <c r="M814" s="134" t="inlineStr">
        <is>
          <t>İZOLASYON EKİBİ</t>
        </is>
      </c>
      <c r="N814" s="218" t="n"/>
      <c r="O814" s="219" t="n"/>
    </row>
    <row r="815" ht="26.25" customHeight="1">
      <c r="B815" s="127" t="inlineStr">
        <is>
          <t>PERSONEL</t>
        </is>
      </c>
      <c r="C815" s="219" t="n"/>
      <c r="D815" s="34" t="inlineStr">
        <is>
          <t>PUANTAJ</t>
        </is>
      </c>
      <c r="E815" s="128" t="inlineStr">
        <is>
          <t>KÜMÜLATİF PUANTAJ</t>
        </is>
      </c>
      <c r="F815" s="129" t="inlineStr">
        <is>
          <t>PERSONEL</t>
        </is>
      </c>
      <c r="G815" s="219" t="n"/>
      <c r="H815" s="35" t="inlineStr">
        <is>
          <t>PUANTAJ</t>
        </is>
      </c>
      <c r="I815" s="129" t="inlineStr">
        <is>
          <t>KÜMÜLATİF PUANTAJ</t>
        </is>
      </c>
      <c r="J815" s="133" t="inlineStr">
        <is>
          <t>PERSONEL</t>
        </is>
      </c>
      <c r="K815" s="34" t="inlineStr">
        <is>
          <t>PUANTAJ</t>
        </is>
      </c>
      <c r="L815" s="128" t="inlineStr">
        <is>
          <t>KÜMÜLATİF PUANTAJ</t>
        </is>
      </c>
      <c r="M815" s="36" t="inlineStr">
        <is>
          <t>PERSONEL</t>
        </is>
      </c>
      <c r="N815" s="35" t="inlineStr">
        <is>
          <t>PUANTAJ</t>
        </is>
      </c>
      <c r="O815" s="37" t="inlineStr">
        <is>
          <t>KÜMÜLATİF PUANTAJ</t>
        </is>
      </c>
    </row>
    <row r="816" ht="21" customFormat="1" customHeight="1" s="38">
      <c r="B816" s="107" t="inlineStr">
        <is>
          <t>Saha Mühendisi</t>
        </is>
      </c>
      <c r="C816" s="219" t="n"/>
      <c r="D816" s="39" t="n">
        <v>0</v>
      </c>
      <c r="E816" s="40">
        <f>D816</f>
        <v/>
      </c>
      <c r="F816" s="109" t="inlineStr">
        <is>
          <t>Saha Mühendisi</t>
        </is>
      </c>
      <c r="G816" s="219" t="n"/>
      <c r="H816" s="15" t="n">
        <v>0</v>
      </c>
      <c r="I816" s="41">
        <f>H816</f>
        <v/>
      </c>
      <c r="J816" s="42" t="inlineStr">
        <is>
          <t>Saha Mühendisi</t>
        </is>
      </c>
      <c r="K816" s="39" t="n">
        <v>0</v>
      </c>
      <c r="L816" s="40">
        <f>K816</f>
        <v/>
      </c>
      <c r="M816" s="43" t="inlineStr">
        <is>
          <t>Saha Mühendisi</t>
        </is>
      </c>
      <c r="N816" s="15" t="n">
        <v>0</v>
      </c>
      <c r="O816" s="10">
        <f>N816</f>
        <v/>
      </c>
    </row>
    <row r="817" ht="21" customFormat="1" customHeight="1" s="38">
      <c r="B817" s="107" t="inlineStr">
        <is>
          <t>Kalfa (Formen)</t>
        </is>
      </c>
      <c r="C817" s="219" t="n"/>
      <c r="D817" s="39" t="n">
        <v>0</v>
      </c>
      <c r="E817" s="40">
        <f>D817</f>
        <v/>
      </c>
      <c r="F817" s="109" t="inlineStr">
        <is>
          <t>Kalfa</t>
        </is>
      </c>
      <c r="G817" s="219" t="n"/>
      <c r="H817" s="15" t="n">
        <v>0</v>
      </c>
      <c r="I817" s="41">
        <f>H817</f>
        <v/>
      </c>
      <c r="J817" s="42" t="inlineStr">
        <is>
          <t>Kalfa</t>
        </is>
      </c>
      <c r="K817" s="39" t="n">
        <v>0</v>
      </c>
      <c r="L817" s="40">
        <f>K817</f>
        <v/>
      </c>
      <c r="M817" s="43" t="inlineStr">
        <is>
          <t>Kalfa</t>
        </is>
      </c>
      <c r="N817" s="15" t="n">
        <v>0</v>
      </c>
      <c r="O817" s="10">
        <f>N817</f>
        <v/>
      </c>
    </row>
    <row r="818" ht="21" customFormat="1" customHeight="1" s="38">
      <c r="B818" s="107" t="inlineStr">
        <is>
          <t>Usta ( Kalıpçı)</t>
        </is>
      </c>
      <c r="C818" s="219" t="n"/>
      <c r="D818" s="39" t="n">
        <v>0</v>
      </c>
      <c r="E818" s="40">
        <f>D818</f>
        <v/>
      </c>
      <c r="F818" s="109" t="inlineStr">
        <is>
          <t>Usta</t>
        </is>
      </c>
      <c r="G818" s="219" t="n"/>
      <c r="H818" s="15" t="n">
        <v>0</v>
      </c>
      <c r="I818" s="41">
        <f>H818</f>
        <v/>
      </c>
      <c r="J818" s="42" t="inlineStr">
        <is>
          <t>Topograf</t>
        </is>
      </c>
      <c r="K818" s="39" t="n">
        <v>0</v>
      </c>
      <c r="L818" s="40">
        <f>K818</f>
        <v/>
      </c>
      <c r="M818" s="43" t="inlineStr">
        <is>
          <t xml:space="preserve">Usta </t>
        </is>
      </c>
      <c r="N818" s="15" t="n">
        <v>0</v>
      </c>
      <c r="O818" s="10">
        <f>N818</f>
        <v/>
      </c>
    </row>
    <row r="819" ht="21" customFormat="1" customHeight="1" s="38">
      <c r="B819" s="107" t="inlineStr">
        <is>
          <t>Usta ( Demirci)</t>
        </is>
      </c>
      <c r="C819" s="219" t="n"/>
      <c r="D819" s="39" t="n">
        <v>0</v>
      </c>
      <c r="E819" s="40">
        <f>D819</f>
        <v/>
      </c>
      <c r="F819" s="109" t="inlineStr">
        <is>
          <t>Beden İşçisi</t>
        </is>
      </c>
      <c r="G819" s="219" t="n"/>
      <c r="H819" s="15" t="n">
        <v>0</v>
      </c>
      <c r="I819" s="41">
        <f>H819</f>
        <v/>
      </c>
      <c r="J819" s="42" t="inlineStr">
        <is>
          <t>Beden İşçisi</t>
        </is>
      </c>
      <c r="K819" s="39" t="n">
        <v>0</v>
      </c>
      <c r="L819" s="40">
        <f>K819</f>
        <v/>
      </c>
      <c r="M819" s="43" t="inlineStr">
        <is>
          <t>Beden İşçisi</t>
        </is>
      </c>
      <c r="N819" s="15" t="n">
        <v>0</v>
      </c>
      <c r="O819" s="10">
        <f>N819</f>
        <v/>
      </c>
    </row>
    <row r="820" ht="21" customFormat="1" customHeight="1" s="38">
      <c r="B820" s="107" t="inlineStr">
        <is>
          <t>Beden İşçisi</t>
        </is>
      </c>
      <c r="C820" s="219" t="n"/>
      <c r="D820" s="39" t="n">
        <v>0</v>
      </c>
      <c r="E820" s="40">
        <f>D820</f>
        <v/>
      </c>
      <c r="F820" s="109" t="inlineStr">
        <is>
          <t>İş. Mak. Opr.</t>
        </is>
      </c>
      <c r="G820" s="219" t="n"/>
      <c r="H820" s="15" t="n">
        <v>0</v>
      </c>
      <c r="I820" s="41">
        <f>H820</f>
        <v/>
      </c>
      <c r="J820" s="42" t="inlineStr">
        <is>
          <t>İş. Mak. Opr. (Eks.)</t>
        </is>
      </c>
      <c r="K820" s="39" t="n">
        <v>0</v>
      </c>
      <c r="L820" s="40">
        <f>K820</f>
        <v/>
      </c>
      <c r="M820" s="43" t="n"/>
      <c r="N820" s="15" t="n"/>
      <c r="O820" s="10" t="n"/>
    </row>
    <row r="821" ht="21" customFormat="1" customHeight="1" s="38">
      <c r="B821" s="107" t="inlineStr">
        <is>
          <t>İş. Mak. Opr.</t>
        </is>
      </c>
      <c r="C821" s="219" t="n"/>
      <c r="D821" s="39" t="n">
        <v>0</v>
      </c>
      <c r="E821" s="40">
        <f>D821</f>
        <v/>
      </c>
      <c r="F821" s="109" t="inlineStr">
        <is>
          <t>Test Ekibi</t>
        </is>
      </c>
      <c r="G821" s="219" t="n"/>
      <c r="H821" s="15" t="n">
        <v>0</v>
      </c>
      <c r="I821" s="41">
        <f>H821</f>
        <v/>
      </c>
      <c r="J821" s="42" t="inlineStr">
        <is>
          <t>Şoför (Kamyon)</t>
        </is>
      </c>
      <c r="K821" s="39" t="n">
        <v>0</v>
      </c>
      <c r="L821" s="40">
        <f>K821</f>
        <v/>
      </c>
      <c r="M821" s="43" t="n"/>
      <c r="N821" s="15" t="n"/>
      <c r="O821" s="10" t="n"/>
    </row>
    <row r="822" ht="21" customHeight="1">
      <c r="B822" s="130" t="inlineStr">
        <is>
          <t>TOPLAMLAR</t>
        </is>
      </c>
      <c r="C822" s="219" t="n"/>
      <c r="D822" s="34">
        <f>SUM(D816:D821)</f>
        <v/>
      </c>
      <c r="E822" s="34">
        <f>SUM(E816:E821)</f>
        <v/>
      </c>
      <c r="F822" s="132" t="inlineStr">
        <is>
          <t>TOPLAMLAR</t>
        </is>
      </c>
      <c r="G822" s="219" t="n"/>
      <c r="H822" s="35">
        <f>SUM(H816:H821)</f>
        <v/>
      </c>
      <c r="I822" s="35">
        <f>SUM(I816:I821)</f>
        <v/>
      </c>
      <c r="J822" s="133" t="inlineStr">
        <is>
          <t>TOPLAMLAR</t>
        </is>
      </c>
      <c r="K822" s="34">
        <f>SUM(K816:K821)</f>
        <v/>
      </c>
      <c r="L822" s="34">
        <f>SUM(L816:L821)</f>
        <v/>
      </c>
      <c r="M822" s="36" t="inlineStr">
        <is>
          <t>TOPLAMLAR</t>
        </is>
      </c>
      <c r="N822" s="35">
        <f>SUM(N816:N821)</f>
        <v/>
      </c>
      <c r="O822" s="44">
        <f>SUM(O816:O821)</f>
        <v/>
      </c>
    </row>
    <row r="823" ht="10.95" customHeight="1">
      <c r="B823" s="252" t="n"/>
      <c r="C823" s="218" t="n"/>
      <c r="D823" s="218" t="n"/>
      <c r="E823" s="218" t="n"/>
      <c r="F823" s="218" t="n"/>
      <c r="G823" s="218" t="n"/>
      <c r="H823" s="218" t="n"/>
      <c r="I823" s="218" t="n"/>
      <c r="J823" s="218" t="n"/>
      <c r="K823" s="218" t="n"/>
      <c r="L823" s="218" t="n"/>
      <c r="M823" s="218" t="n"/>
      <c r="N823" s="218" t="n"/>
      <c r="O823" s="220" t="n"/>
    </row>
    <row r="824" ht="26.25" customHeight="1">
      <c r="B824" s="127" t="inlineStr">
        <is>
          <t>EKİP</t>
        </is>
      </c>
      <c r="C824" s="218" t="n"/>
      <c r="D824" s="218" t="n"/>
      <c r="E824" s="219" t="n"/>
      <c r="F824" s="129" t="inlineStr">
        <is>
          <t xml:space="preserve">CEPHE- ÇATI EKİBİ </t>
        </is>
      </c>
      <c r="G824" s="218" t="n"/>
      <c r="H824" s="218" t="n"/>
      <c r="I824" s="219" t="n"/>
      <c r="J824" s="133" t="inlineStr">
        <is>
          <t xml:space="preserve">MEKANİK EKİBİ </t>
        </is>
      </c>
      <c r="K824" s="218" t="n"/>
      <c r="L824" s="219" t="n"/>
      <c r="M824" s="134" t="inlineStr">
        <is>
          <t xml:space="preserve">ELEKTRİK EKİBİ </t>
        </is>
      </c>
      <c r="N824" s="218" t="n"/>
      <c r="O824" s="219" t="n"/>
    </row>
    <row r="825" ht="26.25" customHeight="1">
      <c r="B825" s="127" t="inlineStr">
        <is>
          <t>PERSONEL</t>
        </is>
      </c>
      <c r="C825" s="219" t="n"/>
      <c r="D825" s="34" t="inlineStr">
        <is>
          <t>PUANTAJ</t>
        </is>
      </c>
      <c r="E825" s="128" t="inlineStr">
        <is>
          <t>KÜMÜLATİF PUANTAJ</t>
        </is>
      </c>
      <c r="F825" s="129" t="inlineStr">
        <is>
          <t>PERSONEL</t>
        </is>
      </c>
      <c r="G825" s="219" t="n"/>
      <c r="H825" s="35" t="inlineStr">
        <is>
          <t>PUANTAJ</t>
        </is>
      </c>
      <c r="I825" s="129" t="inlineStr">
        <is>
          <t>KÜMÜLATİF PUANTAJ</t>
        </is>
      </c>
      <c r="J825" s="133" t="inlineStr">
        <is>
          <t>PERSONEL</t>
        </is>
      </c>
      <c r="K825" s="34" t="inlineStr">
        <is>
          <t>PUANTAJ</t>
        </is>
      </c>
      <c r="L825" s="128" t="inlineStr">
        <is>
          <t>KÜMÜLATİF PUANTAJ</t>
        </is>
      </c>
      <c r="M825" s="36" t="inlineStr">
        <is>
          <t>PERSONEL</t>
        </is>
      </c>
      <c r="N825" s="35" t="inlineStr">
        <is>
          <t>PUANTAJ</t>
        </is>
      </c>
      <c r="O825" s="37" t="inlineStr">
        <is>
          <t>KÜMÜLATİF PUANTAJ</t>
        </is>
      </c>
    </row>
    <row r="826" ht="21" customHeight="1">
      <c r="B826" s="107" t="inlineStr">
        <is>
          <t>Saha Mühendisi</t>
        </is>
      </c>
      <c r="C826" s="219" t="n"/>
      <c r="D826" s="39" t="n">
        <v>0</v>
      </c>
      <c r="E826" s="39">
        <f>D826</f>
        <v/>
      </c>
      <c r="F826" s="109" t="inlineStr">
        <is>
          <t>Saha Mühendisi</t>
        </is>
      </c>
      <c r="G826" s="219" t="n"/>
      <c r="H826" s="15" t="n">
        <v>0</v>
      </c>
      <c r="I826" s="15">
        <f>H826</f>
        <v/>
      </c>
      <c r="J826" s="42" t="inlineStr">
        <is>
          <t>Saha Mühendisi</t>
        </is>
      </c>
      <c r="K826" s="39" t="n">
        <v>0</v>
      </c>
      <c r="L826" s="39">
        <f>K826</f>
        <v/>
      </c>
      <c r="M826" s="43" t="inlineStr">
        <is>
          <t>Saha Mühendisi</t>
        </is>
      </c>
      <c r="N826" s="15" t="n">
        <v>0</v>
      </c>
      <c r="O826" s="10">
        <f>N826</f>
        <v/>
      </c>
    </row>
    <row r="827" ht="21" customHeight="1">
      <c r="B827" s="107" t="inlineStr">
        <is>
          <t>Kalfa</t>
        </is>
      </c>
      <c r="C827" s="219" t="n"/>
      <c r="D827" s="39" t="n">
        <v>0</v>
      </c>
      <c r="E827" s="39">
        <f>D827</f>
        <v/>
      </c>
      <c r="F827" s="109" t="inlineStr">
        <is>
          <t>Kalfa</t>
        </is>
      </c>
      <c r="G827" s="219" t="n"/>
      <c r="H827" s="15" t="n">
        <v>0</v>
      </c>
      <c r="I827" s="15">
        <f>H827</f>
        <v/>
      </c>
      <c r="J827" s="42" t="inlineStr">
        <is>
          <t>Kalfa</t>
        </is>
      </c>
      <c r="K827" s="39" t="n">
        <v>0</v>
      </c>
      <c r="L827" s="39">
        <f>K827</f>
        <v/>
      </c>
      <c r="M827" s="43" t="inlineStr">
        <is>
          <t>Kalfa</t>
        </is>
      </c>
      <c r="N827" s="15" t="n">
        <v>0</v>
      </c>
      <c r="O827" s="10">
        <f>N827</f>
        <v/>
      </c>
    </row>
    <row r="828" ht="21" customHeight="1">
      <c r="B828" s="107" t="inlineStr">
        <is>
          <t xml:space="preserve">Usta </t>
        </is>
      </c>
      <c r="C828" s="219" t="n"/>
      <c r="D828" s="39" t="n">
        <v>0</v>
      </c>
      <c r="E828" s="39">
        <f>D828</f>
        <v/>
      </c>
      <c r="F828" s="109" t="inlineStr">
        <is>
          <t xml:space="preserve">Usta </t>
        </is>
      </c>
      <c r="G828" s="219" t="n"/>
      <c r="H828" s="15" t="n">
        <v>0</v>
      </c>
      <c r="I828" s="15">
        <f>H828</f>
        <v/>
      </c>
      <c r="J828" s="42" t="inlineStr">
        <is>
          <t xml:space="preserve">Usta </t>
        </is>
      </c>
      <c r="K828" s="39" t="n">
        <v>0</v>
      </c>
      <c r="L828" s="39">
        <f>K828</f>
        <v/>
      </c>
      <c r="M828" s="43" t="inlineStr">
        <is>
          <t xml:space="preserve">Usta </t>
        </is>
      </c>
      <c r="N828" s="15" t="n">
        <v>0</v>
      </c>
      <c r="O828" s="10">
        <f>N828</f>
        <v/>
      </c>
    </row>
    <row r="829" ht="21" customHeight="1">
      <c r="B829" s="107" t="inlineStr">
        <is>
          <t>Beden İşçisi</t>
        </is>
      </c>
      <c r="C829" s="219" t="n"/>
      <c r="D829" s="39" t="n">
        <v>0</v>
      </c>
      <c r="E829" s="39">
        <f>D829</f>
        <v/>
      </c>
      <c r="F829" s="109" t="inlineStr">
        <is>
          <t>Beden İşçisi</t>
        </is>
      </c>
      <c r="G829" s="219" t="n"/>
      <c r="H829" s="15" t="n">
        <v>0</v>
      </c>
      <c r="I829" s="15">
        <f>H829</f>
        <v/>
      </c>
      <c r="J829" s="42" t="inlineStr">
        <is>
          <t>Beden İşçisi</t>
        </is>
      </c>
      <c r="K829" s="39" t="n">
        <v>0</v>
      </c>
      <c r="L829" s="39">
        <f>K829</f>
        <v/>
      </c>
      <c r="M829" s="43" t="inlineStr">
        <is>
          <t>Beden İşçisi</t>
        </is>
      </c>
      <c r="N829" s="15" t="n">
        <v>0</v>
      </c>
      <c r="O829" s="10">
        <f>N829</f>
        <v/>
      </c>
    </row>
    <row r="830" ht="21" customHeight="1">
      <c r="B830" s="107" t="inlineStr">
        <is>
          <t>İş. Mak. Opr.</t>
        </is>
      </c>
      <c r="C830" s="219" t="n"/>
      <c r="D830" s="39" t="n">
        <v>0</v>
      </c>
      <c r="E830" s="39">
        <f>D830</f>
        <v/>
      </c>
      <c r="F830" s="109" t="inlineStr">
        <is>
          <t>İş. Mak. Opr.</t>
        </is>
      </c>
      <c r="G830" s="219" t="n"/>
      <c r="H830" s="15" t="n">
        <v>0</v>
      </c>
      <c r="I830" s="15">
        <f>H830</f>
        <v/>
      </c>
      <c r="J830" s="42" t="inlineStr">
        <is>
          <t>İş. Mak. Opr.</t>
        </is>
      </c>
      <c r="K830" s="39" t="n">
        <v>0</v>
      </c>
      <c r="L830" s="39">
        <f>K830</f>
        <v/>
      </c>
      <c r="M830" s="43" t="inlineStr">
        <is>
          <t>İş. Mak. Opr.</t>
        </is>
      </c>
      <c r="N830" s="15" t="n">
        <v>0</v>
      </c>
      <c r="O830" s="10">
        <f>N830</f>
        <v/>
      </c>
    </row>
    <row r="831" ht="21" customFormat="1" customHeight="1" s="45">
      <c r="B831" s="130" t="inlineStr">
        <is>
          <t>TOPLAMLAR</t>
        </is>
      </c>
      <c r="C831" s="219" t="n"/>
      <c r="D831" s="34">
        <f>SUM(D825:D830)</f>
        <v/>
      </c>
      <c r="E831" s="34">
        <f>SUM(E826:E830)</f>
        <v/>
      </c>
      <c r="F831" s="132" t="inlineStr">
        <is>
          <t>TOPLAMLAR</t>
        </is>
      </c>
      <c r="G831" s="219" t="n"/>
      <c r="H831" s="35">
        <f>SUM(H825:H830)</f>
        <v/>
      </c>
      <c r="I831" s="35">
        <f>SUM(I826:I830)</f>
        <v/>
      </c>
      <c r="J831" s="133" t="inlineStr">
        <is>
          <t>TOPLAMLAR</t>
        </is>
      </c>
      <c r="K831" s="34">
        <f>SUM(K825:K830)</f>
        <v/>
      </c>
      <c r="L831" s="34">
        <f>SUM(L826:L830)</f>
        <v/>
      </c>
      <c r="M831" s="36" t="inlineStr">
        <is>
          <t>TOPLAMLAR</t>
        </is>
      </c>
      <c r="N831" s="35">
        <f>SUM(N825:N830)</f>
        <v/>
      </c>
      <c r="O831" s="44">
        <f>SUM(O826:O830)</f>
        <v/>
      </c>
    </row>
    <row r="832" ht="10.95" customHeight="1">
      <c r="B832" s="252" t="n"/>
      <c r="C832" s="218" t="n"/>
      <c r="D832" s="218" t="n"/>
      <c r="E832" s="218" t="n"/>
      <c r="F832" s="218" t="n"/>
      <c r="G832" s="218" t="n"/>
      <c r="H832" s="218" t="n"/>
      <c r="I832" s="218" t="n"/>
      <c r="J832" s="218" t="n"/>
      <c r="K832" s="218" t="n"/>
      <c r="L832" s="218" t="n"/>
      <c r="M832" s="218" t="n"/>
      <c r="N832" s="218" t="n"/>
      <c r="O832" s="220" t="n"/>
    </row>
    <row r="833" ht="26.25" customHeight="1">
      <c r="B833" s="127" t="inlineStr">
        <is>
          <t>EKİP</t>
        </is>
      </c>
      <c r="C833" s="218" t="n"/>
      <c r="D833" s="218" t="n"/>
      <c r="E833" s="219" t="n"/>
      <c r="F833" s="129" t="inlineStr">
        <is>
          <t>EKİP</t>
        </is>
      </c>
      <c r="G833" s="218" t="n"/>
      <c r="H833" s="218" t="n"/>
      <c r="I833" s="219" t="n"/>
      <c r="J833" s="133" t="inlineStr">
        <is>
          <t>EKİP</t>
        </is>
      </c>
      <c r="K833" s="218" t="n"/>
      <c r="L833" s="219" t="n"/>
      <c r="M833" s="133" t="inlineStr">
        <is>
          <t>EKİP</t>
        </is>
      </c>
      <c r="N833" s="218" t="n"/>
      <c r="O833" s="219" t="n"/>
    </row>
    <row r="834" ht="26.25" customHeight="1">
      <c r="B834" s="127" t="inlineStr">
        <is>
          <t>PERSONEL</t>
        </is>
      </c>
      <c r="C834" s="219" t="n"/>
      <c r="D834" s="34" t="inlineStr">
        <is>
          <t>PUANTAJ</t>
        </is>
      </c>
      <c r="E834" s="128" t="inlineStr">
        <is>
          <t>KÜMÜLATİF PUANTAJ</t>
        </is>
      </c>
      <c r="F834" s="129" t="inlineStr">
        <is>
          <t>PERSONEL</t>
        </is>
      </c>
      <c r="G834" s="219" t="n"/>
      <c r="H834" s="35" t="inlineStr">
        <is>
          <t>PUANTAJ</t>
        </is>
      </c>
      <c r="I834" s="129" t="inlineStr">
        <is>
          <t>KÜMÜLATİF PUANTAJ</t>
        </is>
      </c>
      <c r="J834" s="133" t="inlineStr">
        <is>
          <t>PERSONEL</t>
        </is>
      </c>
      <c r="K834" s="34" t="inlineStr">
        <is>
          <t>PUANTAJ</t>
        </is>
      </c>
      <c r="L834" s="128" t="inlineStr">
        <is>
          <t>KÜMÜLATİF PUANTAJ</t>
        </is>
      </c>
      <c r="M834" s="36" t="inlineStr">
        <is>
          <t>PERSONEL</t>
        </is>
      </c>
      <c r="N834" s="35" t="inlineStr">
        <is>
          <t>PUANTAJ</t>
        </is>
      </c>
      <c r="O834" s="37" t="inlineStr">
        <is>
          <t>KÜMÜLATİF PUANTAJ</t>
        </is>
      </c>
    </row>
    <row r="835" ht="22.2" customHeight="1">
      <c r="B835" s="107" t="inlineStr">
        <is>
          <t>Saha Mühendisi</t>
        </is>
      </c>
      <c r="C835" s="219" t="n"/>
      <c r="D835" s="39" t="n">
        <v>0</v>
      </c>
      <c r="E835" s="39">
        <f>D835</f>
        <v/>
      </c>
      <c r="F835" s="109" t="inlineStr">
        <is>
          <t>Saha Mühendisi</t>
        </is>
      </c>
      <c r="G835" s="219" t="n"/>
      <c r="H835" s="15" t="n">
        <v>0</v>
      </c>
      <c r="I835" s="15">
        <f>H835</f>
        <v/>
      </c>
      <c r="J835" s="42" t="inlineStr">
        <is>
          <t>Saha Mühendisi</t>
        </is>
      </c>
      <c r="K835" s="39" t="n">
        <v>0</v>
      </c>
      <c r="L835" s="39">
        <f>K835</f>
        <v/>
      </c>
      <c r="M835" s="43" t="inlineStr">
        <is>
          <t>Saha Mühendisi</t>
        </is>
      </c>
      <c r="N835" s="15" t="n">
        <v>0</v>
      </c>
      <c r="O835" s="10">
        <f>N835</f>
        <v/>
      </c>
    </row>
    <row r="836" ht="22.2" customHeight="1">
      <c r="B836" s="107" t="inlineStr">
        <is>
          <t>Kalfa</t>
        </is>
      </c>
      <c r="C836" s="219" t="n"/>
      <c r="D836" s="39" t="n">
        <v>0</v>
      </c>
      <c r="E836" s="39">
        <f>D836</f>
        <v/>
      </c>
      <c r="F836" s="109" t="inlineStr">
        <is>
          <t>Kalfa</t>
        </is>
      </c>
      <c r="G836" s="219" t="n"/>
      <c r="H836" s="15" t="n">
        <v>0</v>
      </c>
      <c r="I836" s="15">
        <f>H836</f>
        <v/>
      </c>
      <c r="J836" s="42" t="inlineStr">
        <is>
          <t>Kalfa</t>
        </is>
      </c>
      <c r="K836" s="39" t="n">
        <v>0</v>
      </c>
      <c r="L836" s="39">
        <f>K836</f>
        <v/>
      </c>
      <c r="M836" s="43" t="inlineStr">
        <is>
          <t>Kalfa</t>
        </is>
      </c>
      <c r="N836" s="15" t="n">
        <v>0</v>
      </c>
      <c r="O836" s="10">
        <f>N836</f>
        <v/>
      </c>
    </row>
    <row r="837" ht="22.2" customHeight="1">
      <c r="B837" s="107" t="inlineStr">
        <is>
          <t xml:space="preserve">Usta </t>
        </is>
      </c>
      <c r="C837" s="219" t="n"/>
      <c r="D837" s="39" t="n">
        <v>0</v>
      </c>
      <c r="E837" s="39">
        <f>D837</f>
        <v/>
      </c>
      <c r="F837" s="109" t="inlineStr">
        <is>
          <t xml:space="preserve">Usta </t>
        </is>
      </c>
      <c r="G837" s="219" t="n"/>
      <c r="H837" s="15" t="n">
        <v>0</v>
      </c>
      <c r="I837" s="15">
        <f>H837</f>
        <v/>
      </c>
      <c r="J837" s="42" t="inlineStr">
        <is>
          <t xml:space="preserve">Usta </t>
        </is>
      </c>
      <c r="K837" s="39" t="n">
        <v>0</v>
      </c>
      <c r="L837" s="39">
        <f>K837</f>
        <v/>
      </c>
      <c r="M837" s="43" t="inlineStr">
        <is>
          <t xml:space="preserve">Usta </t>
        </is>
      </c>
      <c r="N837" s="15" t="n">
        <v>0</v>
      </c>
      <c r="O837" s="10">
        <f>N837</f>
        <v/>
      </c>
    </row>
    <row r="838" ht="22.2" customHeight="1">
      <c r="B838" s="107" t="inlineStr">
        <is>
          <t>Beden İşçisi</t>
        </is>
      </c>
      <c r="C838" s="219" t="n"/>
      <c r="D838" s="39" t="n">
        <v>0</v>
      </c>
      <c r="E838" s="39">
        <f>D838</f>
        <v/>
      </c>
      <c r="F838" s="109" t="inlineStr">
        <is>
          <t>Beden İşçisi</t>
        </is>
      </c>
      <c r="G838" s="219" t="n"/>
      <c r="H838" s="15" t="n">
        <v>0</v>
      </c>
      <c r="I838" s="15">
        <f>H838</f>
        <v/>
      </c>
      <c r="J838" s="42" t="inlineStr">
        <is>
          <t>Beden İşçisi</t>
        </is>
      </c>
      <c r="K838" s="39" t="n">
        <v>0</v>
      </c>
      <c r="L838" s="39">
        <f>K838</f>
        <v/>
      </c>
      <c r="M838" s="43" t="inlineStr">
        <is>
          <t>Beden İşçisi</t>
        </is>
      </c>
      <c r="N838" s="15" t="n">
        <v>0</v>
      </c>
      <c r="O838" s="10">
        <f>N838</f>
        <v/>
      </c>
    </row>
    <row r="839" ht="22.2" customHeight="1">
      <c r="B839" s="107" t="inlineStr">
        <is>
          <t>İş. Mak. Opr.</t>
        </is>
      </c>
      <c r="C839" s="219" t="n"/>
      <c r="D839" s="39" t="n">
        <v>0</v>
      </c>
      <c r="E839" s="39">
        <f>D839</f>
        <v/>
      </c>
      <c r="F839" s="109" t="inlineStr">
        <is>
          <t>İş. Mak. Opr.</t>
        </is>
      </c>
      <c r="G839" s="219" t="n"/>
      <c r="H839" s="15" t="n">
        <v>0</v>
      </c>
      <c r="I839" s="15">
        <f>H839</f>
        <v/>
      </c>
      <c r="J839" s="42" t="inlineStr">
        <is>
          <t>İş. Mak. Opr.</t>
        </is>
      </c>
      <c r="K839" s="39" t="n">
        <v>0</v>
      </c>
      <c r="L839" s="39">
        <f>K839</f>
        <v/>
      </c>
      <c r="M839" s="43" t="inlineStr">
        <is>
          <t>İş. Mak. Opr.</t>
        </is>
      </c>
      <c r="N839" s="15" t="n">
        <v>0</v>
      </c>
      <c r="O839" s="10">
        <f>N839</f>
        <v/>
      </c>
    </row>
    <row r="840" ht="22.2" customFormat="1" customHeight="1" s="45">
      <c r="B840" s="130" t="inlineStr">
        <is>
          <t>TOPLAMLAR</t>
        </is>
      </c>
      <c r="C840" s="219" t="n"/>
      <c r="D840" s="34">
        <f>SUM(D834:D839)</f>
        <v/>
      </c>
      <c r="E840" s="34">
        <f>SUM(E835:E839)</f>
        <v/>
      </c>
      <c r="F840" s="132" t="inlineStr">
        <is>
          <t>TOPLAMLAR</t>
        </is>
      </c>
      <c r="G840" s="219" t="n"/>
      <c r="H840" s="35">
        <f>SUM(H834:H839)</f>
        <v/>
      </c>
      <c r="I840" s="35">
        <f>SUM(I835:I839)</f>
        <v/>
      </c>
      <c r="J840" s="133" t="inlineStr">
        <is>
          <t>TOPLAMLAR</t>
        </is>
      </c>
      <c r="K840" s="34">
        <f>SUM(K834:K839)</f>
        <v/>
      </c>
      <c r="L840" s="34">
        <f>SUM(L835:L839)</f>
        <v/>
      </c>
      <c r="M840" s="36" t="inlineStr">
        <is>
          <t>TOPLAMLAR</t>
        </is>
      </c>
      <c r="N840" s="35">
        <f>SUM(N834:N839)</f>
        <v/>
      </c>
      <c r="O840" s="44">
        <f>SUM(O835:O839)</f>
        <v/>
      </c>
    </row>
    <row r="841" ht="10.95" customHeight="1">
      <c r="B841" s="252" t="n"/>
      <c r="C841" s="218" t="n"/>
      <c r="D841" s="218" t="n"/>
      <c r="E841" s="218" t="n"/>
      <c r="F841" s="218" t="n"/>
      <c r="G841" s="218" t="n"/>
      <c r="H841" s="218" t="n"/>
      <c r="I841" s="218" t="n"/>
      <c r="J841" s="218" t="n"/>
      <c r="K841" s="218" t="n"/>
      <c r="L841" s="218" t="n"/>
      <c r="M841" s="218" t="n"/>
      <c r="N841" s="218" t="n"/>
      <c r="O841" s="220" t="n"/>
    </row>
    <row r="842" ht="27" customFormat="1" customHeight="1" s="46">
      <c r="B842" s="253" t="inlineStr">
        <is>
          <t>GÜNLÜK TOPLAM</t>
        </is>
      </c>
      <c r="C842" s="218" t="n"/>
      <c r="D842" s="218" t="n"/>
      <c r="E842" s="218" t="n"/>
      <c r="F842" s="218" t="n"/>
      <c r="G842" s="218" t="n"/>
      <c r="H842" s="218" t="n"/>
      <c r="I842" s="218" t="n"/>
      <c r="J842" s="218" t="n"/>
      <c r="K842" s="218" t="n"/>
      <c r="L842" s="218" t="n"/>
      <c r="M842" s="219" t="n"/>
      <c r="N842" s="254">
        <f>D822+H822+K822+N822+D831+H831+K831+N831+D840+H840+K840+N840</f>
        <v/>
      </c>
      <c r="O842" s="220" t="n"/>
    </row>
    <row r="843" ht="27" customFormat="1" customHeight="1" s="46" thickBot="1">
      <c r="B843" s="255" t="inlineStr">
        <is>
          <t>KÜMÜLATİF TOPLAM</t>
        </is>
      </c>
      <c r="C843" s="222" t="n"/>
      <c r="D843" s="222" t="n"/>
      <c r="E843" s="222" t="n"/>
      <c r="F843" s="222" t="n"/>
      <c r="G843" s="222" t="n"/>
      <c r="H843" s="222" t="n"/>
      <c r="I843" s="222" t="n"/>
      <c r="J843" s="222" t="n"/>
      <c r="K843" s="222" t="n"/>
      <c r="L843" s="222" t="n"/>
      <c r="M843" s="223" t="n"/>
      <c r="N843" s="256">
        <f>E822+I822+L822+O822+E831+I831+L831+O831+E840+I840+L840+O840</f>
        <v/>
      </c>
      <c r="O843" s="226" t="n"/>
    </row>
    <row r="844" ht="87" customHeight="1" thickBot="1">
      <c r="B844" s="213" t="n"/>
      <c r="C844" s="214" t="n"/>
      <c r="D844" s="214" t="n"/>
      <c r="E844" s="215" t="n"/>
      <c r="F844" s="97" t="inlineStr">
        <is>
          <t>GÜNLÜK FAALİYET RAPORU
0XXXX-XXX-SGM-XXX-XXX-DPR-IPY-100001</t>
        </is>
      </c>
      <c r="G844" s="214" t="n"/>
      <c r="H844" s="214" t="n"/>
      <c r="I844" s="214" t="n"/>
      <c r="J844" s="214" t="n"/>
      <c r="K844" s="215" t="n"/>
      <c r="L844" s="99" t="inlineStr">
        <is>
          <t>LOGO</t>
        </is>
      </c>
      <c r="M844" s="214" t="n"/>
      <c r="N844" s="214" t="n"/>
      <c r="O844" s="216" t="n"/>
    </row>
    <row r="845" ht="21" customHeight="1" thickBot="1">
      <c r="B845" s="257" t="inlineStr">
        <is>
          <t>YAPILAN İŞLER</t>
        </is>
      </c>
      <c r="C845" s="258" t="n"/>
      <c r="D845" s="258" t="n"/>
      <c r="E845" s="258" t="n"/>
      <c r="F845" s="258" t="n"/>
      <c r="G845" s="258" t="n"/>
      <c r="H845" s="258" t="n"/>
      <c r="I845" s="258" t="n"/>
      <c r="J845" s="258" t="n"/>
      <c r="K845" s="258" t="n"/>
      <c r="L845" s="258" t="n"/>
      <c r="M845" s="258" t="n"/>
      <c r="N845" s="258" t="n"/>
      <c r="O845" s="259" t="n"/>
    </row>
    <row r="846" ht="40.2" customFormat="1" customHeight="1" s="45">
      <c r="B846" s="47" t="inlineStr">
        <is>
          <t>NO</t>
        </is>
      </c>
      <c r="C846" s="260" t="inlineStr">
        <is>
          <t>AÇIKLAMA</t>
        </is>
      </c>
      <c r="D846" s="214" t="n"/>
      <c r="E846" s="214" t="n"/>
      <c r="F846" s="214" t="n"/>
      <c r="G846" s="214" t="n"/>
      <c r="H846" s="214" t="n"/>
      <c r="I846" s="215" t="n"/>
      <c r="J846" s="48" t="inlineStr">
        <is>
          <t>İLGİLİ FİRMA/ÇALIŞAN SAYISI</t>
        </is>
      </c>
      <c r="K846" s="261" t="inlineStr">
        <is>
          <t>İLAVE NOTLAR</t>
        </is>
      </c>
      <c r="L846" s="214" t="n"/>
      <c r="M846" s="214" t="n"/>
      <c r="N846" s="214" t="n"/>
      <c r="O846" s="216" t="n"/>
    </row>
    <row r="847" hidden="1" ht="19.95" customFormat="1" customHeight="1" s="45">
      <c r="B847" s="49" t="n"/>
      <c r="C847" s="262" t="inlineStr">
        <is>
          <t>Ruhsat Alım İşleri</t>
        </is>
      </c>
      <c r="D847" s="218" t="n"/>
      <c r="E847" s="218" t="n"/>
      <c r="F847" s="218" t="n"/>
      <c r="G847" s="218" t="n"/>
      <c r="H847" s="218" t="n"/>
      <c r="I847" s="219" t="n"/>
      <c r="J847" s="50" t="n"/>
      <c r="K847" s="263" t="n"/>
      <c r="L847" s="218" t="n"/>
      <c r="M847" s="218" t="n"/>
      <c r="N847" s="218" t="n"/>
      <c r="O847" s="220" t="n"/>
    </row>
    <row r="848" hidden="1" ht="49.95" customFormat="1" customHeight="1" s="45">
      <c r="B848" s="51" t="n">
        <v>1</v>
      </c>
      <c r="C848" s="264" t="inlineStr">
        <is>
          <t>Yapım ruhsatı yazılmış olup, yapı denetim ve Akyurt Belediyesinde tüm imzalar tamamlanmıştır. SGK Müdürlüğüne gidilerek İşyeri açılışı için başvuru yapılmış ve İşyeri açılışı yapılmıştır.</t>
        </is>
      </c>
      <c r="D848" s="218" t="n"/>
      <c r="E848" s="218" t="n"/>
      <c r="F848" s="218" t="n"/>
      <c r="G848" s="218" t="n"/>
      <c r="H848" s="218" t="n"/>
      <c r="I848" s="219" t="n"/>
      <c r="J848" s="52" t="n"/>
      <c r="K848" s="265" t="inlineStr">
        <is>
          <t>SGK İşyeri Sicil Numarası : 4.4120.0101.1457705.006.27.57.000.040</t>
        </is>
      </c>
      <c r="L848" s="218" t="n"/>
      <c r="M848" s="218" t="n"/>
      <c r="N848" s="218" t="n"/>
      <c r="O848" s="220" t="n"/>
    </row>
    <row r="849" hidden="1" ht="19.95" customFormat="1" customHeight="1" s="45">
      <c r="B849" s="49" t="n"/>
      <c r="C849" s="262" t="inlineStr">
        <is>
          <t>Mobilizasyon İşleri</t>
        </is>
      </c>
      <c r="D849" s="218" t="n"/>
      <c r="E849" s="218" t="n"/>
      <c r="F849" s="218" t="n"/>
      <c r="G849" s="218" t="n"/>
      <c r="H849" s="218" t="n"/>
      <c r="I849" s="219" t="n"/>
      <c r="J849" s="50" t="n"/>
      <c r="K849" s="263" t="n"/>
      <c r="L849" s="218" t="n"/>
      <c r="M849" s="218" t="n"/>
      <c r="N849" s="218" t="n"/>
      <c r="O849" s="220" t="n"/>
    </row>
    <row r="850" hidden="1" ht="30" customFormat="1" customHeight="1" s="45">
      <c r="B850" s="51" t="n">
        <v>1</v>
      </c>
      <c r="C850" s="264" t="inlineStr">
        <is>
          <t>Mobilizasyon çalışmaları devam etmektedir.</t>
        </is>
      </c>
      <c r="D850" s="218" t="n"/>
      <c r="E850" s="218" t="n"/>
      <c r="F850" s="218" t="n"/>
      <c r="G850" s="218" t="n"/>
      <c r="H850" s="218" t="n"/>
      <c r="I850" s="219" t="n"/>
      <c r="J850" s="52" t="n"/>
      <c r="K850" s="265" t="inlineStr">
        <is>
          <t>İSG önlemleri kapsamında çalışmalar yapıldı.</t>
        </is>
      </c>
      <c r="L850" s="218" t="n"/>
      <c r="M850" s="218" t="n"/>
      <c r="N850" s="218" t="n"/>
      <c r="O850" s="220" t="n"/>
    </row>
    <row r="851" ht="19.95" customFormat="1" customHeight="1" s="45">
      <c r="B851" s="49" t="n"/>
      <c r="C851" s="262" t="inlineStr">
        <is>
          <t>Kazı İşleri</t>
        </is>
      </c>
      <c r="D851" s="218" t="n"/>
      <c r="E851" s="218" t="n"/>
      <c r="F851" s="218" t="n"/>
      <c r="G851" s="218" t="n"/>
      <c r="H851" s="218" t="n"/>
      <c r="I851" s="219" t="n"/>
      <c r="J851" s="50" t="n"/>
      <c r="K851" s="263" t="n"/>
      <c r="L851" s="218" t="n"/>
      <c r="M851" s="218" t="n"/>
      <c r="N851" s="218" t="n"/>
      <c r="O851" s="220" t="n"/>
    </row>
    <row r="852" ht="34.5" customFormat="1" customHeight="1" s="45">
      <c r="B852" s="51" t="n">
        <v>1</v>
      </c>
      <c r="C852" s="266" t="n"/>
      <c r="D852" s="218" t="n"/>
      <c r="E852" s="218" t="n"/>
      <c r="F852" s="218" t="n"/>
      <c r="G852" s="218" t="n"/>
      <c r="H852" s="218" t="n"/>
      <c r="I852" s="219" t="n"/>
      <c r="J852" s="52" t="n"/>
      <c r="K852" s="267" t="n"/>
      <c r="L852" s="218" t="n"/>
      <c r="M852" s="218" t="n"/>
      <c r="N852" s="218" t="n"/>
      <c r="O852" s="220" t="n"/>
    </row>
    <row r="853" ht="34.5" customFormat="1" customHeight="1" s="45">
      <c r="B853" s="51" t="n">
        <v>2</v>
      </c>
      <c r="C853" s="266" t="n"/>
      <c r="D853" s="218" t="n"/>
      <c r="E853" s="218" t="n"/>
      <c r="F853" s="218" t="n"/>
      <c r="G853" s="218" t="n"/>
      <c r="H853" s="218" t="n"/>
      <c r="I853" s="219" t="n"/>
      <c r="J853" s="52" t="n"/>
      <c r="K853" s="267" t="n"/>
      <c r="L853" s="218" t="n"/>
      <c r="M853" s="218" t="n"/>
      <c r="N853" s="218" t="n"/>
      <c r="O853" s="220" t="n"/>
    </row>
    <row r="854" ht="35.4" customFormat="1" customHeight="1" s="45">
      <c r="B854" s="51" t="n">
        <v>3</v>
      </c>
      <c r="C854" s="264" t="n"/>
      <c r="D854" s="218" t="n"/>
      <c r="E854" s="218" t="n"/>
      <c r="F854" s="218" t="n"/>
      <c r="G854" s="218" t="n"/>
      <c r="H854" s="218" t="n"/>
      <c r="I854" s="219" t="n"/>
      <c r="J854" s="52" t="n"/>
      <c r="K854" s="265" t="n"/>
      <c r="L854" s="218" t="n"/>
      <c r="M854" s="218" t="n"/>
      <c r="N854" s="218" t="n"/>
      <c r="O854" s="220" t="n"/>
    </row>
    <row r="855" ht="19.95" customFormat="1" customHeight="1" s="45">
      <c r="B855" s="49" t="n"/>
      <c r="C855" s="262" t="inlineStr">
        <is>
          <t>Betonarme Kaba Yapı İşleri</t>
        </is>
      </c>
      <c r="D855" s="218" t="n"/>
      <c r="E855" s="218" t="n"/>
      <c r="F855" s="218" t="n"/>
      <c r="G855" s="218" t="n"/>
      <c r="H855" s="218" t="n"/>
      <c r="I855" s="219" t="n"/>
      <c r="J855" s="50" t="n"/>
      <c r="K855" s="263" t="n"/>
      <c r="L855" s="218" t="n"/>
      <c r="M855" s="218" t="n"/>
      <c r="N855" s="218" t="n"/>
      <c r="O855" s="220" t="n"/>
    </row>
    <row r="856" ht="34.5" customFormat="1" customHeight="1" s="45">
      <c r="B856" s="51" t="n">
        <v>1</v>
      </c>
      <c r="C856" s="266" t="n"/>
      <c r="D856" s="218" t="n"/>
      <c r="E856" s="218" t="n"/>
      <c r="F856" s="218" t="n"/>
      <c r="G856" s="218" t="n"/>
      <c r="H856" s="218" t="n"/>
      <c r="I856" s="219" t="n"/>
      <c r="J856" s="52" t="n"/>
      <c r="K856" s="65" t="n"/>
      <c r="L856" s="66" t="n"/>
      <c r="M856" s="66" t="n"/>
      <c r="N856" s="66" t="n"/>
      <c r="O856" s="67" t="n"/>
    </row>
    <row r="857" ht="34.5" customFormat="1" customHeight="1" s="45">
      <c r="B857" s="51" t="n">
        <v>2</v>
      </c>
      <c r="C857" s="266" t="n"/>
      <c r="D857" s="218" t="n"/>
      <c r="E857" s="218" t="n"/>
      <c r="F857" s="218" t="n"/>
      <c r="G857" s="218" t="n"/>
      <c r="H857" s="218" t="n"/>
      <c r="I857" s="219" t="n"/>
      <c r="J857" s="52" t="n"/>
      <c r="K857" s="267" t="n"/>
      <c r="L857" s="218" t="n"/>
      <c r="M857" s="218" t="n"/>
      <c r="N857" s="218" t="n"/>
      <c r="O857" s="220" t="n"/>
    </row>
    <row r="858" ht="34.5" customFormat="1" customHeight="1" s="45">
      <c r="B858" s="51" t="n">
        <v>3</v>
      </c>
      <c r="C858" s="264" t="n"/>
      <c r="D858" s="218" t="n"/>
      <c r="E858" s="218" t="n"/>
      <c r="F858" s="218" t="n"/>
      <c r="G858" s="218" t="n"/>
      <c r="H858" s="218" t="n"/>
      <c r="I858" s="219" t="n"/>
      <c r="J858" s="52" t="n"/>
      <c r="K858" s="268" t="n"/>
      <c r="L858" s="218" t="n"/>
      <c r="M858" s="218" t="n"/>
      <c r="N858" s="218" t="n"/>
      <c r="O858" s="220" t="n"/>
    </row>
    <row r="859" ht="19.95" customFormat="1" customHeight="1" s="45">
      <c r="B859" s="49" t="n"/>
      <c r="C859" s="262" t="inlineStr">
        <is>
          <t>İnce Yapı İşleri</t>
        </is>
      </c>
      <c r="D859" s="218" t="n"/>
      <c r="E859" s="218" t="n"/>
      <c r="F859" s="218" t="n"/>
      <c r="G859" s="218" t="n"/>
      <c r="H859" s="218" t="n"/>
      <c r="I859" s="219" t="n"/>
      <c r="J859" s="50" t="n"/>
      <c r="K859" s="263" t="n"/>
      <c r="L859" s="218" t="n"/>
      <c r="M859" s="218" t="n"/>
      <c r="N859" s="218" t="n"/>
      <c r="O859" s="220" t="n"/>
    </row>
    <row r="860" ht="35.4" customFormat="1" customHeight="1" s="45">
      <c r="B860" s="51" t="n">
        <v>1</v>
      </c>
      <c r="C860" s="264" t="n"/>
      <c r="D860" s="218" t="n"/>
      <c r="E860" s="218" t="n"/>
      <c r="F860" s="218" t="n"/>
      <c r="G860" s="218" t="n"/>
      <c r="H860" s="218" t="n"/>
      <c r="I860" s="219" t="n"/>
      <c r="J860" s="52" t="n"/>
      <c r="K860" s="268" t="n"/>
      <c r="L860" s="218" t="n"/>
      <c r="M860" s="218" t="n"/>
      <c r="N860" s="218" t="n"/>
      <c r="O860" s="220" t="n"/>
    </row>
    <row r="861" ht="35.4" customFormat="1" customHeight="1" s="45">
      <c r="B861" s="51" t="n">
        <v>2</v>
      </c>
      <c r="C861" s="264" t="n"/>
      <c r="D861" s="218" t="n"/>
      <c r="E861" s="218" t="n"/>
      <c r="F861" s="218" t="n"/>
      <c r="G861" s="218" t="n"/>
      <c r="H861" s="218" t="n"/>
      <c r="I861" s="219" t="n"/>
      <c r="J861" s="52" t="n"/>
      <c r="K861" s="268" t="n"/>
      <c r="L861" s="218" t="n"/>
      <c r="M861" s="218" t="n"/>
      <c r="N861" s="218" t="n"/>
      <c r="O861" s="220" t="n"/>
    </row>
    <row r="862" ht="35.4" customFormat="1" customHeight="1" s="45">
      <c r="B862" s="51" t="n">
        <v>3</v>
      </c>
      <c r="C862" s="264" t="n"/>
      <c r="D862" s="218" t="n"/>
      <c r="E862" s="218" t="n"/>
      <c r="F862" s="218" t="n"/>
      <c r="G862" s="218" t="n"/>
      <c r="H862" s="218" t="n"/>
      <c r="I862" s="219" t="n"/>
      <c r="J862" s="52" t="n"/>
      <c r="K862" s="268" t="n"/>
      <c r="L862" s="218" t="n"/>
      <c r="M862" s="218" t="n"/>
      <c r="N862" s="218" t="n"/>
      <c r="O862" s="220" t="n"/>
    </row>
    <row r="863" ht="19.95" customFormat="1" customHeight="1" s="45">
      <c r="B863" s="49" t="n"/>
      <c r="C863" s="262" t="inlineStr">
        <is>
          <t>Altyapı İşleri</t>
        </is>
      </c>
      <c r="D863" s="218" t="n"/>
      <c r="E863" s="218" t="n"/>
      <c r="F863" s="218" t="n"/>
      <c r="G863" s="218" t="n"/>
      <c r="H863" s="218" t="n"/>
      <c r="I863" s="219" t="n"/>
      <c r="J863" s="50" t="n"/>
      <c r="K863" s="263" t="n"/>
      <c r="L863" s="218" t="n"/>
      <c r="M863" s="218" t="n"/>
      <c r="N863" s="218" t="n"/>
      <c r="O863" s="220" t="n"/>
    </row>
    <row r="864" ht="35.4" customFormat="1" customHeight="1" s="45">
      <c r="B864" s="51" t="n">
        <v>1</v>
      </c>
      <c r="C864" s="264" t="n"/>
      <c r="D864" s="218" t="n"/>
      <c r="E864" s="218" t="n"/>
      <c r="F864" s="218" t="n"/>
      <c r="G864" s="218" t="n"/>
      <c r="H864" s="218" t="n"/>
      <c r="I864" s="219" t="n"/>
      <c r="J864" s="52" t="n"/>
      <c r="K864" s="268" t="n"/>
      <c r="L864" s="218" t="n"/>
      <c r="M864" s="218" t="n"/>
      <c r="N864" s="218" t="n"/>
      <c r="O864" s="220" t="n"/>
    </row>
    <row r="865" ht="35.4" customFormat="1" customHeight="1" s="45">
      <c r="B865" s="51" t="n">
        <v>2</v>
      </c>
      <c r="C865" s="264" t="n"/>
      <c r="D865" s="218" t="n"/>
      <c r="E865" s="218" t="n"/>
      <c r="F865" s="218" t="n"/>
      <c r="G865" s="218" t="n"/>
      <c r="H865" s="218" t="n"/>
      <c r="I865" s="219" t="n"/>
      <c r="J865" s="52" t="n"/>
      <c r="K865" s="268" t="n"/>
      <c r="L865" s="218" t="n"/>
      <c r="M865" s="218" t="n"/>
      <c r="N865" s="218" t="n"/>
      <c r="O865" s="220" t="n"/>
    </row>
    <row r="866" ht="35.4" customFormat="1" customHeight="1" s="45">
      <c r="B866" s="51" t="n">
        <v>3</v>
      </c>
      <c r="C866" s="264" t="n"/>
      <c r="D866" s="218" t="n"/>
      <c r="E866" s="218" t="n"/>
      <c r="F866" s="218" t="n"/>
      <c r="G866" s="218" t="n"/>
      <c r="H866" s="218" t="n"/>
      <c r="I866" s="219" t="n"/>
      <c r="J866" s="52" t="n"/>
      <c r="K866" s="268" t="n"/>
      <c r="L866" s="218" t="n"/>
      <c r="M866" s="218" t="n"/>
      <c r="N866" s="218" t="n"/>
      <c r="O866" s="220" t="n"/>
    </row>
    <row r="867" ht="19.95" customFormat="1" customHeight="1" s="45">
      <c r="B867" s="49" t="n"/>
      <c r="C867" s="262" t="inlineStr">
        <is>
          <t>Mekanik İşleri</t>
        </is>
      </c>
      <c r="D867" s="218" t="n"/>
      <c r="E867" s="218" t="n"/>
      <c r="F867" s="218" t="n"/>
      <c r="G867" s="218" t="n"/>
      <c r="H867" s="218" t="n"/>
      <c r="I867" s="219" t="n"/>
      <c r="J867" s="50" t="n"/>
      <c r="K867" s="263" t="n"/>
      <c r="L867" s="218" t="n"/>
      <c r="M867" s="218" t="n"/>
      <c r="N867" s="218" t="n"/>
      <c r="O867" s="220" t="n"/>
    </row>
    <row r="868" ht="35.4" customFormat="1" customHeight="1" s="45">
      <c r="B868" s="51" t="n">
        <v>1</v>
      </c>
      <c r="C868" s="264" t="n"/>
      <c r="D868" s="218" t="n"/>
      <c r="E868" s="218" t="n"/>
      <c r="F868" s="218" t="n"/>
      <c r="G868" s="218" t="n"/>
      <c r="H868" s="218" t="n"/>
      <c r="I868" s="219" t="n"/>
      <c r="J868" s="52" t="n"/>
      <c r="K868" s="268" t="n"/>
      <c r="L868" s="218" t="n"/>
      <c r="M868" s="218" t="n"/>
      <c r="N868" s="218" t="n"/>
      <c r="O868" s="220" t="n"/>
    </row>
    <row r="869" ht="35.4" customFormat="1" customHeight="1" s="45">
      <c r="B869" s="51" t="n">
        <v>2</v>
      </c>
      <c r="C869" s="264" t="n"/>
      <c r="D869" s="218" t="n"/>
      <c r="E869" s="218" t="n"/>
      <c r="F869" s="218" t="n"/>
      <c r="G869" s="218" t="n"/>
      <c r="H869" s="218" t="n"/>
      <c r="I869" s="219" t="n"/>
      <c r="J869" s="52" t="n"/>
      <c r="K869" s="268" t="n"/>
      <c r="L869" s="218" t="n"/>
      <c r="M869" s="218" t="n"/>
      <c r="N869" s="218" t="n"/>
      <c r="O869" s="220" t="n"/>
    </row>
    <row r="870" ht="35.4" customFormat="1" customHeight="1" s="45">
      <c r="B870" s="51" t="n">
        <v>3</v>
      </c>
      <c r="C870" s="264" t="n"/>
      <c r="D870" s="218" t="n"/>
      <c r="E870" s="218" t="n"/>
      <c r="F870" s="218" t="n"/>
      <c r="G870" s="218" t="n"/>
      <c r="H870" s="218" t="n"/>
      <c r="I870" s="219" t="n"/>
      <c r="J870" s="52" t="n"/>
      <c r="K870" s="268" t="n"/>
      <c r="L870" s="218" t="n"/>
      <c r="M870" s="218" t="n"/>
      <c r="N870" s="218" t="n"/>
      <c r="O870" s="220" t="n"/>
    </row>
    <row r="871" ht="19.95" customFormat="1" customHeight="1" s="45">
      <c r="B871" s="49" t="n"/>
      <c r="C871" s="262" t="inlineStr">
        <is>
          <t>Elektrik İşleri</t>
        </is>
      </c>
      <c r="D871" s="218" t="n"/>
      <c r="E871" s="218" t="n"/>
      <c r="F871" s="218" t="n"/>
      <c r="G871" s="218" t="n"/>
      <c r="H871" s="218" t="n"/>
      <c r="I871" s="219" t="n"/>
      <c r="J871" s="50" t="n"/>
      <c r="K871" s="263" t="n"/>
      <c r="L871" s="218" t="n"/>
      <c r="M871" s="218" t="n"/>
      <c r="N871" s="218" t="n"/>
      <c r="O871" s="220" t="n"/>
    </row>
    <row r="872" ht="35.4" customFormat="1" customHeight="1" s="45">
      <c r="B872" s="51" t="n">
        <v>1</v>
      </c>
      <c r="C872" s="264" t="n"/>
      <c r="D872" s="218" t="n"/>
      <c r="E872" s="218" t="n"/>
      <c r="F872" s="218" t="n"/>
      <c r="G872" s="218" t="n"/>
      <c r="H872" s="218" t="n"/>
      <c r="I872" s="219" t="n"/>
      <c r="J872" s="52" t="n"/>
      <c r="K872" s="268" t="n"/>
      <c r="L872" s="218" t="n"/>
      <c r="M872" s="218" t="n"/>
      <c r="N872" s="218" t="n"/>
      <c r="O872" s="220" t="n"/>
    </row>
    <row r="873" ht="35.4" customFormat="1" customHeight="1" s="45">
      <c r="B873" s="51" t="n">
        <v>2</v>
      </c>
      <c r="C873" s="264" t="n"/>
      <c r="D873" s="218" t="n"/>
      <c r="E873" s="218" t="n"/>
      <c r="F873" s="218" t="n"/>
      <c r="G873" s="218" t="n"/>
      <c r="H873" s="218" t="n"/>
      <c r="I873" s="219" t="n"/>
      <c r="J873" s="52" t="n"/>
      <c r="K873" s="268" t="n"/>
      <c r="L873" s="218" t="n"/>
      <c r="M873" s="218" t="n"/>
      <c r="N873" s="218" t="n"/>
      <c r="O873" s="220" t="n"/>
    </row>
    <row r="874" ht="19.95" customFormat="1" customHeight="1" s="45">
      <c r="B874" s="49" t="n"/>
      <c r="C874" s="262" t="inlineStr">
        <is>
          <t>İSG</t>
        </is>
      </c>
      <c r="D874" s="218" t="n"/>
      <c r="E874" s="218" t="n"/>
      <c r="F874" s="218" t="n"/>
      <c r="G874" s="218" t="n"/>
      <c r="H874" s="218" t="n"/>
      <c r="I874" s="219" t="n"/>
      <c r="J874" s="50" t="n"/>
      <c r="K874" s="263" t="n"/>
      <c r="L874" s="218" t="n"/>
      <c r="M874" s="218" t="n"/>
      <c r="N874" s="218" t="n"/>
      <c r="O874" s="220" t="n"/>
    </row>
    <row r="875" ht="35.4" customFormat="1" customHeight="1" s="45">
      <c r="B875" s="51" t="n">
        <v>1</v>
      </c>
      <c r="C875" s="264" t="n"/>
      <c r="D875" s="218" t="n"/>
      <c r="E875" s="218" t="n"/>
      <c r="F875" s="218" t="n"/>
      <c r="G875" s="218" t="n"/>
      <c r="H875" s="218" t="n"/>
      <c r="I875" s="219" t="n"/>
      <c r="J875" s="52" t="n"/>
      <c r="K875" s="268" t="n"/>
      <c r="L875" s="218" t="n"/>
      <c r="M875" s="218" t="n"/>
      <c r="N875" s="218" t="n"/>
      <c r="O875" s="220" t="n"/>
    </row>
    <row r="876" ht="35.4" customFormat="1" customHeight="1" s="45">
      <c r="B876" s="51" t="n">
        <v>2</v>
      </c>
      <c r="C876" s="264" t="n"/>
      <c r="D876" s="218" t="n"/>
      <c r="E876" s="218" t="n"/>
      <c r="F876" s="218" t="n"/>
      <c r="G876" s="218" t="n"/>
      <c r="H876" s="218" t="n"/>
      <c r="I876" s="219" t="n"/>
      <c r="J876" s="52" t="n"/>
      <c r="K876" s="268" t="n"/>
      <c r="L876" s="218" t="n"/>
      <c r="M876" s="218" t="n"/>
      <c r="N876" s="218" t="n"/>
      <c r="O876" s="220" t="n"/>
    </row>
    <row r="877" ht="36" customFormat="1" customHeight="1" s="45">
      <c r="B877" s="51" t="n">
        <v>3</v>
      </c>
      <c r="C877" s="264" t="n"/>
      <c r="D877" s="218" t="n"/>
      <c r="E877" s="218" t="n"/>
      <c r="F877" s="218" t="n"/>
      <c r="G877" s="218" t="n"/>
      <c r="H877" s="218" t="n"/>
      <c r="I877" s="219" t="n"/>
      <c r="J877" s="52" t="n"/>
      <c r="K877" s="268" t="n"/>
      <c r="L877" s="218" t="n"/>
      <c r="M877" s="218" t="n"/>
      <c r="N877" s="218" t="n"/>
      <c r="O877" s="220" t="n"/>
    </row>
    <row r="878" ht="19.95" customFormat="1" customHeight="1" s="45">
      <c r="B878" s="49" t="n"/>
      <c r="C878" s="262" t="inlineStr">
        <is>
          <t>Teknik Ofis İşleri</t>
        </is>
      </c>
      <c r="D878" s="218" t="n"/>
      <c r="E878" s="218" t="n"/>
      <c r="F878" s="218" t="n"/>
      <c r="G878" s="218" t="n"/>
      <c r="H878" s="218" t="n"/>
      <c r="I878" s="219" t="n"/>
      <c r="J878" s="50" t="n"/>
      <c r="K878" s="263" t="n"/>
      <c r="L878" s="218" t="n"/>
      <c r="M878" s="218" t="n"/>
      <c r="N878" s="218" t="n"/>
      <c r="O878" s="220" t="n"/>
    </row>
    <row r="879" ht="35.25" customFormat="1" customHeight="1" s="45">
      <c r="B879" s="51" t="n">
        <v>1</v>
      </c>
      <c r="C879" s="264" t="n"/>
      <c r="D879" s="218" t="n"/>
      <c r="E879" s="218" t="n"/>
      <c r="F879" s="218" t="n"/>
      <c r="G879" s="218" t="n"/>
      <c r="H879" s="218" t="n"/>
      <c r="I879" s="219" t="n"/>
      <c r="J879" s="52" t="n"/>
      <c r="K879" s="268" t="n"/>
      <c r="L879" s="218" t="n"/>
      <c r="M879" s="218" t="n"/>
      <c r="N879" s="218" t="n"/>
      <c r="O879" s="220" t="n"/>
    </row>
    <row r="880" ht="35.25" customFormat="1" customHeight="1" s="45">
      <c r="B880" s="51" t="n">
        <v>2</v>
      </c>
      <c r="C880" s="264" t="n"/>
      <c r="D880" s="218" t="n"/>
      <c r="E880" s="218" t="n"/>
      <c r="F880" s="218" t="n"/>
      <c r="G880" s="218" t="n"/>
      <c r="H880" s="218" t="n"/>
      <c r="I880" s="219" t="n"/>
      <c r="J880" s="52" t="n"/>
      <c r="K880" s="267" t="n"/>
      <c r="L880" s="218" t="n"/>
      <c r="M880" s="218" t="n"/>
      <c r="N880" s="218" t="n"/>
      <c r="O880" s="220" t="n"/>
    </row>
    <row r="881" ht="35.25" customFormat="1" customHeight="1" s="45" thickBot="1">
      <c r="B881" s="51" t="n">
        <v>3</v>
      </c>
      <c r="C881" s="269" t="n"/>
      <c r="D881" s="218" t="n"/>
      <c r="E881" s="218" t="n"/>
      <c r="F881" s="218" t="n"/>
      <c r="G881" s="218" t="n"/>
      <c r="H881" s="218" t="n"/>
      <c r="I881" s="219" t="n"/>
      <c r="J881" s="52" t="n"/>
      <c r="K881" s="267" t="n"/>
      <c r="L881" s="218" t="n"/>
      <c r="M881" s="218" t="n"/>
      <c r="N881" s="218" t="n"/>
      <c r="O881" s="220" t="n"/>
    </row>
    <row r="882" ht="18.75" customHeight="1">
      <c r="B882" s="270" t="inlineStr">
        <is>
          <t>İMZA</t>
        </is>
      </c>
      <c r="C882" s="74" t="inlineStr">
        <is>
          <t>SİGMA MÜHENDİSLİK HİZMETLERİ DEKORASYON İNŞAAT LTD. ŞTİ.</t>
        </is>
      </c>
      <c r="D882" s="214" t="n"/>
      <c r="E882" s="214" t="n"/>
      <c r="F882" s="214" t="n"/>
      <c r="G882" s="214" t="n"/>
      <c r="H882" s="214" t="n"/>
      <c r="I882" s="215" t="n"/>
      <c r="J882" s="76" t="inlineStr">
        <is>
          <t>ANA YÜKLENİCİ</t>
        </is>
      </c>
      <c r="K882" s="214" t="n"/>
      <c r="L882" s="214" t="n"/>
      <c r="M882" s="214" t="n"/>
      <c r="N882" s="214" t="n"/>
      <c r="O882" s="216" t="n"/>
    </row>
    <row r="883" ht="18.75" customHeight="1">
      <c r="B883" s="271" t="n"/>
      <c r="C883" s="272" t="n"/>
      <c r="D883" s="218" t="n"/>
      <c r="E883" s="218" t="n"/>
      <c r="F883" s="218" t="n"/>
      <c r="G883" s="218" t="n"/>
      <c r="H883" s="218" t="n"/>
      <c r="I883" s="219" t="n"/>
      <c r="J883" s="56" t="n"/>
      <c r="K883" s="56" t="n"/>
      <c r="L883" s="56" t="n"/>
      <c r="M883" s="56" t="n"/>
      <c r="N883" s="56" t="n"/>
      <c r="O883" s="57" t="n"/>
    </row>
    <row r="884" ht="14.25" customHeight="1">
      <c r="B884" s="271" t="n"/>
      <c r="C884" s="80" t="n"/>
      <c r="D884" s="273" t="n"/>
      <c r="E884" s="273" t="n"/>
      <c r="F884" s="273" t="n"/>
      <c r="G884" s="273" t="n"/>
      <c r="H884" s="273" t="n"/>
      <c r="I884" s="274" t="n"/>
      <c r="J884" s="80" t="n"/>
      <c r="K884" s="273" t="n"/>
      <c r="L884" s="273" t="n"/>
      <c r="M884" s="273" t="n"/>
      <c r="N884" s="273" t="n"/>
      <c r="O884" s="274" t="n"/>
    </row>
    <row r="885" ht="14.25" customHeight="1">
      <c r="B885" s="271" t="n"/>
      <c r="C885" s="275" t="n"/>
      <c r="I885" s="276" t="n"/>
      <c r="J885" s="275" t="n"/>
      <c r="O885" s="276" t="n"/>
    </row>
    <row r="886" ht="14.25" customHeight="1" thickBot="1">
      <c r="B886" s="277" t="n"/>
      <c r="C886" s="278" t="n"/>
      <c r="D886" s="250" t="n"/>
      <c r="E886" s="250" t="n"/>
      <c r="F886" s="250" t="n"/>
      <c r="G886" s="250" t="n"/>
      <c r="H886" s="250" t="n"/>
      <c r="I886" s="240" t="n"/>
      <c r="J886" s="278" t="n"/>
      <c r="K886" s="250" t="n"/>
      <c r="L886" s="250" t="n"/>
      <c r="M886" s="250" t="n"/>
      <c r="N886" s="250" t="n"/>
      <c r="O886" s="240" t="n"/>
    </row>
  </sheetData>
  <mergeCells count="1648">
    <mergeCell ref="B677:E677"/>
    <mergeCell ref="F473:G473"/>
    <mergeCell ref="K306:O306"/>
    <mergeCell ref="F472:G472"/>
    <mergeCell ref="C529:I529"/>
    <mergeCell ref="B422:B426"/>
    <mergeCell ref="K120:M120"/>
    <mergeCell ref="B362:C362"/>
    <mergeCell ref="C524:I524"/>
    <mergeCell ref="K759:O759"/>
    <mergeCell ref="B215:E215"/>
    <mergeCell ref="B243:C243"/>
    <mergeCell ref="K630:O630"/>
    <mergeCell ref="K761:O761"/>
    <mergeCell ref="B574:C574"/>
    <mergeCell ref="K632:O632"/>
    <mergeCell ref="B5:I5"/>
    <mergeCell ref="F825:G825"/>
    <mergeCell ref="L445:O445"/>
    <mergeCell ref="C857:I857"/>
    <mergeCell ref="J652:O652"/>
    <mergeCell ref="F249:I249"/>
    <mergeCell ref="C850:I850"/>
    <mergeCell ref="B721:C721"/>
    <mergeCell ref="C423:I423"/>
    <mergeCell ref="B714:C714"/>
    <mergeCell ref="M239:O239"/>
    <mergeCell ref="M562:O562"/>
    <mergeCell ref="K347:M347"/>
    <mergeCell ref="B716:C716"/>
    <mergeCell ref="B445:E445"/>
    <mergeCell ref="B23:I23"/>
    <mergeCell ref="F126:G126"/>
    <mergeCell ref="F240:G240"/>
    <mergeCell ref="K341:L341"/>
    <mergeCell ref="M104:M105"/>
    <mergeCell ref="F724:G724"/>
    <mergeCell ref="N466:O466"/>
    <mergeCell ref="F838:G838"/>
    <mergeCell ref="C167:I167"/>
    <mergeCell ref="B15:C15"/>
    <mergeCell ref="N497:O497"/>
    <mergeCell ref="C169:I169"/>
    <mergeCell ref="K398:O398"/>
    <mergeCell ref="B614:E614"/>
    <mergeCell ref="F137:G137"/>
    <mergeCell ref="B460:C460"/>
    <mergeCell ref="K399:O399"/>
    <mergeCell ref="K794:L795"/>
    <mergeCell ref="F139:G139"/>
    <mergeCell ref="M3:O3"/>
    <mergeCell ref="K579:M579"/>
    <mergeCell ref="F470:G470"/>
    <mergeCell ref="K571:L571"/>
    <mergeCell ref="B491:C491"/>
    <mergeCell ref="B34:C34"/>
    <mergeCell ref="K872:O872"/>
    <mergeCell ref="B28:C28"/>
    <mergeCell ref="K118:M118"/>
    <mergeCell ref="F495:G495"/>
    <mergeCell ref="M332:O332"/>
    <mergeCell ref="M603:O603"/>
    <mergeCell ref="B30:C30"/>
    <mergeCell ref="K417:O417"/>
    <mergeCell ref="J594:L594"/>
    <mergeCell ref="G564:I565"/>
    <mergeCell ref="N118:O118"/>
    <mergeCell ref="B361:C361"/>
    <mergeCell ref="F490:G490"/>
    <mergeCell ref="K298:O298"/>
    <mergeCell ref="B844:E844"/>
    <mergeCell ref="F367:G367"/>
    <mergeCell ref="K412:O412"/>
    <mergeCell ref="C513:I513"/>
    <mergeCell ref="C635:I635"/>
    <mergeCell ref="B684:C684"/>
    <mergeCell ref="B155:O155"/>
    <mergeCell ref="B475:C475"/>
    <mergeCell ref="K110:L110"/>
    <mergeCell ref="B263:C263"/>
    <mergeCell ref="J564:J565"/>
    <mergeCell ref="C637:I637"/>
    <mergeCell ref="B686:C686"/>
    <mergeCell ref="C419:I419"/>
    <mergeCell ref="B229:C229"/>
    <mergeCell ref="M45:O45"/>
    <mergeCell ref="B151:O151"/>
    <mergeCell ref="B685:C685"/>
    <mergeCell ref="K743:O743"/>
    <mergeCell ref="K12:L12"/>
    <mergeCell ref="F844:K844"/>
    <mergeCell ref="B687:C687"/>
    <mergeCell ref="B448:I448"/>
    <mergeCell ref="B260:C260"/>
    <mergeCell ref="B564:E565"/>
    <mergeCell ref="K14:L14"/>
    <mergeCell ref="K337:L337"/>
    <mergeCell ref="N811:O811"/>
    <mergeCell ref="C864:I864"/>
    <mergeCell ref="K339:L339"/>
    <mergeCell ref="J333:L333"/>
    <mergeCell ref="C866:I866"/>
    <mergeCell ref="K69:O69"/>
    <mergeCell ref="M709:O709"/>
    <mergeCell ref="C865:I865"/>
    <mergeCell ref="K183:O183"/>
    <mergeCell ref="B705:C705"/>
    <mergeCell ref="K527:O527"/>
    <mergeCell ref="K64:O64"/>
    <mergeCell ref="F445:K445"/>
    <mergeCell ref="F562:G562"/>
    <mergeCell ref="C279:I279"/>
    <mergeCell ref="K72:O72"/>
    <mergeCell ref="F135:G135"/>
    <mergeCell ref="F591:G591"/>
    <mergeCell ref="B237:O238"/>
    <mergeCell ref="C281:I281"/>
    <mergeCell ref="B497:M497"/>
    <mergeCell ref="C737:I737"/>
    <mergeCell ref="C280:I280"/>
    <mergeCell ref="C274:I274"/>
    <mergeCell ref="B257:O257"/>
    <mergeCell ref="K509:O509"/>
    <mergeCell ref="K82:O82"/>
    <mergeCell ref="C282:I282"/>
    <mergeCell ref="J563:L563"/>
    <mergeCell ref="B453:C453"/>
    <mergeCell ref="M5:O5"/>
    <mergeCell ref="B32:C32"/>
    <mergeCell ref="J258:L258"/>
    <mergeCell ref="B840:C840"/>
    <mergeCell ref="F614:K614"/>
    <mergeCell ref="B482:C482"/>
    <mergeCell ref="K83:O83"/>
    <mergeCell ref="F609:G609"/>
    <mergeCell ref="B218:I218"/>
    <mergeCell ref="F146:G146"/>
    <mergeCell ref="B27:C27"/>
    <mergeCell ref="B267:M267"/>
    <mergeCell ref="J539:O541"/>
    <mergeCell ref="C308:I308"/>
    <mergeCell ref="C631:I631"/>
    <mergeCell ref="N232:O232"/>
    <mergeCell ref="F604:G604"/>
    <mergeCell ref="B471:C471"/>
    <mergeCell ref="K410:O410"/>
    <mergeCell ref="C179:I179"/>
    <mergeCell ref="J192:O192"/>
    <mergeCell ref="C633:I633"/>
    <mergeCell ref="B464:C464"/>
    <mergeCell ref="B815:C815"/>
    <mergeCell ref="B37:C37"/>
    <mergeCell ref="K739:O739"/>
    <mergeCell ref="B472:C472"/>
    <mergeCell ref="F601:G601"/>
    <mergeCell ref="C506:I506"/>
    <mergeCell ref="K104:L105"/>
    <mergeCell ref="J488:L488"/>
    <mergeCell ref="K222:L222"/>
    <mergeCell ref="K10:L10"/>
    <mergeCell ref="K736:O736"/>
    <mergeCell ref="M488:O488"/>
    <mergeCell ref="B492:C492"/>
    <mergeCell ref="J769:O771"/>
    <mergeCell ref="C653:I653"/>
    <mergeCell ref="B826:C826"/>
    <mergeCell ref="J331:L331"/>
    <mergeCell ref="C646:I646"/>
    <mergeCell ref="K575:N575"/>
    <mergeCell ref="B828:C828"/>
    <mergeCell ref="C648:I648"/>
    <mergeCell ref="J332:L332"/>
    <mergeCell ref="C74:I74"/>
    <mergeCell ref="B498:M498"/>
    <mergeCell ref="F264:G264"/>
    <mergeCell ref="B679:E680"/>
    <mergeCell ref="C401:I401"/>
    <mergeCell ref="K452:L452"/>
    <mergeCell ref="L269:O269"/>
    <mergeCell ref="F676:G676"/>
    <mergeCell ref="M814:O814"/>
    <mergeCell ref="B241:C241"/>
    <mergeCell ref="K349:M349"/>
    <mergeCell ref="B126:C126"/>
    <mergeCell ref="B109:C109"/>
    <mergeCell ref="K507:O507"/>
    <mergeCell ref="J45:L45"/>
    <mergeCell ref="F703:G703"/>
    <mergeCell ref="F246:G246"/>
    <mergeCell ref="H4:I4"/>
    <mergeCell ref="B724:C724"/>
    <mergeCell ref="K536:O536"/>
    <mergeCell ref="K79:O79"/>
    <mergeCell ref="K801:L801"/>
    <mergeCell ref="K508:O508"/>
    <mergeCell ref="K502:O502"/>
    <mergeCell ref="K806:O806"/>
    <mergeCell ref="N235:O235"/>
    <mergeCell ref="C87:I87"/>
    <mergeCell ref="B248:O248"/>
    <mergeCell ref="K81:O81"/>
    <mergeCell ref="K803:L803"/>
    <mergeCell ref="C761:I761"/>
    <mergeCell ref="C421:I421"/>
    <mergeCell ref="B718:E718"/>
    <mergeCell ref="B6:E7"/>
    <mergeCell ref="C89:I89"/>
    <mergeCell ref="F600:G600"/>
    <mergeCell ref="C752:I752"/>
    <mergeCell ref="C306:I306"/>
    <mergeCell ref="F243:G243"/>
    <mergeCell ref="B137:C137"/>
    <mergeCell ref="K804:L804"/>
    <mergeCell ref="B363:O363"/>
    <mergeCell ref="K518:O518"/>
    <mergeCell ref="M143:O143"/>
    <mergeCell ref="C177:I177"/>
    <mergeCell ref="F26:I26"/>
    <mergeCell ref="B139:C139"/>
    <mergeCell ref="B804:C804"/>
    <mergeCell ref="K526:O526"/>
    <mergeCell ref="K520:O520"/>
    <mergeCell ref="K862:O862"/>
    <mergeCell ref="K92:O92"/>
    <mergeCell ref="K521:O521"/>
    <mergeCell ref="K693:M693"/>
    <mergeCell ref="C622:I622"/>
    <mergeCell ref="B822:C822"/>
    <mergeCell ref="K277:O277"/>
    <mergeCell ref="J3:L3"/>
    <mergeCell ref="B675:E675"/>
    <mergeCell ref="B367:C367"/>
    <mergeCell ref="M373:O373"/>
    <mergeCell ref="F610:G610"/>
    <mergeCell ref="K881:O881"/>
    <mergeCell ref="F564:F565"/>
    <mergeCell ref="F43:G43"/>
    <mergeCell ref="B249:E249"/>
    <mergeCell ref="K20:M20"/>
    <mergeCell ref="C188:I188"/>
    <mergeCell ref="C399:I399"/>
    <mergeCell ref="K22:M22"/>
    <mergeCell ref="H102:I102"/>
    <mergeCell ref="B615:O615"/>
    <mergeCell ref="K173:O173"/>
    <mergeCell ref="F33:G33"/>
    <mergeCell ref="B240:C240"/>
    <mergeCell ref="F489:G489"/>
    <mergeCell ref="F700:G700"/>
    <mergeCell ref="C417:I417"/>
    <mergeCell ref="C846:I846"/>
    <mergeCell ref="F28:G28"/>
    <mergeCell ref="C85:I85"/>
    <mergeCell ref="C389:I389"/>
    <mergeCell ref="H3:I3"/>
    <mergeCell ref="C84:I84"/>
    <mergeCell ref="K462:M462"/>
    <mergeCell ref="K191:O191"/>
    <mergeCell ref="C418:I418"/>
    <mergeCell ref="C412:I412"/>
    <mergeCell ref="K647:O647"/>
    <mergeCell ref="K184:O184"/>
    <mergeCell ref="B591:C591"/>
    <mergeCell ref="B224:C224"/>
    <mergeCell ref="K649:O649"/>
    <mergeCell ref="C872:I872"/>
    <mergeCell ref="C743:I743"/>
    <mergeCell ref="F713:G713"/>
    <mergeCell ref="C738:I738"/>
    <mergeCell ref="F715:G715"/>
    <mergeCell ref="B609:C609"/>
    <mergeCell ref="J882:O882"/>
    <mergeCell ref="B146:C146"/>
    <mergeCell ref="F141:G141"/>
    <mergeCell ref="K692:M692"/>
    <mergeCell ref="B490:C490"/>
    <mergeCell ref="K877:O877"/>
    <mergeCell ref="K871:O871"/>
    <mergeCell ref="K116:O116"/>
    <mergeCell ref="B604:C604"/>
    <mergeCell ref="K416:O416"/>
    <mergeCell ref="N728:O728"/>
    <mergeCell ref="B239:E239"/>
    <mergeCell ref="K226:L226"/>
    <mergeCell ref="K530:O530"/>
    <mergeCell ref="B791:E791"/>
    <mergeCell ref="N694:O694"/>
    <mergeCell ref="K114:L114"/>
    <mergeCell ref="C72:I72"/>
    <mergeCell ref="K228:L228"/>
    <mergeCell ref="C186:I186"/>
    <mergeCell ref="B611:O611"/>
    <mergeCell ref="K292:O292"/>
    <mergeCell ref="J469:L469"/>
    <mergeCell ref="K287:O287"/>
    <mergeCell ref="F52:G52"/>
    <mergeCell ref="B834:C834"/>
    <mergeCell ref="C510:I510"/>
    <mergeCell ref="F481:G481"/>
    <mergeCell ref="K289:O289"/>
    <mergeCell ref="B258:E258"/>
    <mergeCell ref="F358:G358"/>
    <mergeCell ref="C512:I512"/>
    <mergeCell ref="F482:G482"/>
    <mergeCell ref="K643:O643"/>
    <mergeCell ref="B264:C264"/>
    <mergeCell ref="B247:C247"/>
    <mergeCell ref="K645:O645"/>
    <mergeCell ref="K620:O620"/>
    <mergeCell ref="K188:O188"/>
    <mergeCell ref="K734:O734"/>
    <mergeCell ref="B100:E100"/>
    <mergeCell ref="F378:G378"/>
    <mergeCell ref="L729:O729"/>
    <mergeCell ref="J334:J335"/>
    <mergeCell ref="K640:O640"/>
    <mergeCell ref="B102:E102"/>
    <mergeCell ref="B44:O44"/>
    <mergeCell ref="C741:I741"/>
    <mergeCell ref="B703:C703"/>
    <mergeCell ref="B246:C246"/>
    <mergeCell ref="M333:O333"/>
    <mergeCell ref="C525:I525"/>
    <mergeCell ref="B702:C702"/>
    <mergeCell ref="C736:I736"/>
    <mergeCell ref="C856:I856"/>
    <mergeCell ref="B704:C704"/>
    <mergeCell ref="C95:I95"/>
    <mergeCell ref="B575:C575"/>
    <mergeCell ref="C881:I881"/>
    <mergeCell ref="F826:G826"/>
    <mergeCell ref="N236:O236"/>
    <mergeCell ref="C883:I883"/>
    <mergeCell ref="B26:E26"/>
    <mergeCell ref="B330:E330"/>
    <mergeCell ref="N350:O350"/>
    <mergeCell ref="B117:C117"/>
    <mergeCell ref="C876:I876"/>
    <mergeCell ref="K805:N805"/>
    <mergeCell ref="C157:I157"/>
    <mergeCell ref="B119:C119"/>
    <mergeCell ref="M134:O134"/>
    <mergeCell ref="C878:I878"/>
    <mergeCell ref="M563:O563"/>
    <mergeCell ref="J562:L562"/>
    <mergeCell ref="F150:G150"/>
    <mergeCell ref="N383:O383"/>
    <mergeCell ref="K682:L682"/>
    <mergeCell ref="K283:O283"/>
    <mergeCell ref="L499:O499"/>
    <mergeCell ref="M594:O594"/>
    <mergeCell ref="H216:I216"/>
    <mergeCell ref="C297:I297"/>
    <mergeCell ref="K285:O285"/>
    <mergeCell ref="F147:G147"/>
    <mergeCell ref="C508:I508"/>
    <mergeCell ref="C299:I299"/>
    <mergeCell ref="K397:O397"/>
    <mergeCell ref="F790:K790"/>
    <mergeCell ref="B192:B196"/>
    <mergeCell ref="B43:C43"/>
    <mergeCell ref="C170:I170"/>
    <mergeCell ref="B347:C347"/>
    <mergeCell ref="B341:C341"/>
    <mergeCell ref="B797:C797"/>
    <mergeCell ref="N465:O465"/>
    <mergeCell ref="F837:G837"/>
    <mergeCell ref="F592:G592"/>
    <mergeCell ref="B799:C799"/>
    <mergeCell ref="B342:C342"/>
    <mergeCell ref="K740:O740"/>
    <mergeCell ref="B103:I103"/>
    <mergeCell ref="K732:O732"/>
    <mergeCell ref="O679:O680"/>
    <mergeCell ref="J479:L479"/>
    <mergeCell ref="K296:O296"/>
    <mergeCell ref="J449:J450"/>
    <mergeCell ref="B359:C359"/>
    <mergeCell ref="C521:I521"/>
    <mergeCell ref="B369:C369"/>
    <mergeCell ref="K756:O756"/>
    <mergeCell ref="B489:C489"/>
    <mergeCell ref="F377:G377"/>
    <mergeCell ref="C523:I523"/>
    <mergeCell ref="K627:O627"/>
    <mergeCell ref="B700:C700"/>
    <mergeCell ref="K108:L108"/>
    <mergeCell ref="K295:O295"/>
    <mergeCell ref="B121:I121"/>
    <mergeCell ref="B124:E124"/>
    <mergeCell ref="B571:C571"/>
    <mergeCell ref="K629:O629"/>
    <mergeCell ref="K751:O751"/>
    <mergeCell ref="F100:K100"/>
    <mergeCell ref="N21:O21"/>
    <mergeCell ref="B573:C573"/>
    <mergeCell ref="N152:O152"/>
    <mergeCell ref="K753:O753"/>
    <mergeCell ref="F822:G822"/>
    <mergeCell ref="N23:O23"/>
    <mergeCell ref="C880:I880"/>
    <mergeCell ref="B823:O823"/>
    <mergeCell ref="C874:I874"/>
    <mergeCell ref="B713:C713"/>
    <mergeCell ref="N810:O810"/>
    <mergeCell ref="B110:C110"/>
    <mergeCell ref="K338:L338"/>
    <mergeCell ref="B715:C715"/>
    <mergeCell ref="B141:C141"/>
    <mergeCell ref="F330:K330"/>
    <mergeCell ref="K340:L340"/>
    <mergeCell ref="G219:I220"/>
    <mergeCell ref="B12:C12"/>
    <mergeCell ref="L154:O154"/>
    <mergeCell ref="B14:C14"/>
    <mergeCell ref="K395:O395"/>
    <mergeCell ref="B610:C610"/>
    <mergeCell ref="F263:G263"/>
    <mergeCell ref="B13:C13"/>
    <mergeCell ref="K851:O851"/>
    <mergeCell ref="C290:I290"/>
    <mergeCell ref="C624:I624"/>
    <mergeCell ref="C539:I541"/>
    <mergeCell ref="K689:L689"/>
    <mergeCell ref="K853:O853"/>
    <mergeCell ref="K390:O390"/>
    <mergeCell ref="B824:E824"/>
    <mergeCell ref="B133:O133"/>
    <mergeCell ref="C192:I192"/>
    <mergeCell ref="C621:I621"/>
    <mergeCell ref="K115:N115"/>
    <mergeCell ref="K93:O93"/>
    <mergeCell ref="B365:C365"/>
    <mergeCell ref="K694:M694"/>
    <mergeCell ref="C623:I623"/>
    <mergeCell ref="C650:I650"/>
    <mergeCell ref="B454:C454"/>
    <mergeCell ref="N234:O234"/>
    <mergeCell ref="C616:I616"/>
    <mergeCell ref="K414:O414"/>
    <mergeCell ref="K230:N230"/>
    <mergeCell ref="C189:I189"/>
    <mergeCell ref="M331:O331"/>
    <mergeCell ref="N121:O121"/>
    <mergeCell ref="K747:O747"/>
    <mergeCell ref="J584:L584"/>
    <mergeCell ref="M26:O26"/>
    <mergeCell ref="K106:L106"/>
    <mergeCell ref="B810:C810"/>
    <mergeCell ref="K749:O749"/>
    <mergeCell ref="K409:O409"/>
    <mergeCell ref="C769:I771"/>
    <mergeCell ref="B334:E335"/>
    <mergeCell ref="B839:C839"/>
    <mergeCell ref="K107:L107"/>
    <mergeCell ref="C65:I65"/>
    <mergeCell ref="C634:I634"/>
    <mergeCell ref="B602:O602"/>
    <mergeCell ref="B378:C378"/>
    <mergeCell ref="K162:O162"/>
    <mergeCell ref="B152:M152"/>
    <mergeCell ref="B836:C836"/>
    <mergeCell ref="F239:I239"/>
    <mergeCell ref="K164:O164"/>
    <mergeCell ref="N808:O808"/>
    <mergeCell ref="J218:L218"/>
    <mergeCell ref="F215:K215"/>
    <mergeCell ref="F360:G360"/>
    <mergeCell ref="K458:L458"/>
    <mergeCell ref="K762:O762"/>
    <mergeCell ref="C96:I98"/>
    <mergeCell ref="K180:O180"/>
    <mergeCell ref="K59:O59"/>
    <mergeCell ref="M103:O103"/>
    <mergeCell ref="K190:O190"/>
    <mergeCell ref="F259:G259"/>
    <mergeCell ref="M824:O824"/>
    <mergeCell ref="K61:O61"/>
    <mergeCell ref="F261:G261"/>
    <mergeCell ref="K849:O849"/>
    <mergeCell ref="K21:M21"/>
    <mergeCell ref="B382:M382"/>
    <mergeCell ref="F254:G254"/>
    <mergeCell ref="F561:G561"/>
    <mergeCell ref="K62:O62"/>
    <mergeCell ref="F588:G588"/>
    <mergeCell ref="C400:I400"/>
    <mergeCell ref="F256:G256"/>
    <mergeCell ref="C734:I734"/>
    <mergeCell ref="B150:C150"/>
    <mergeCell ref="F590:G590"/>
    <mergeCell ref="B352:O353"/>
    <mergeCell ref="F127:G127"/>
    <mergeCell ref="K350:M350"/>
    <mergeCell ref="C735:I735"/>
    <mergeCell ref="F104:F105"/>
    <mergeCell ref="B145:C145"/>
    <mergeCell ref="B452:C452"/>
    <mergeCell ref="C185:I185"/>
    <mergeCell ref="K802:L802"/>
    <mergeCell ref="B147:C147"/>
    <mergeCell ref="B451:C451"/>
    <mergeCell ref="K534:O534"/>
    <mergeCell ref="B481:C481"/>
    <mergeCell ref="B332:E332"/>
    <mergeCell ref="K868:O868"/>
    <mergeCell ref="N119:O119"/>
    <mergeCell ref="C305:I305"/>
    <mergeCell ref="K407:O407"/>
    <mergeCell ref="C630:I630"/>
    <mergeCell ref="F486:G486"/>
    <mergeCell ref="C632:I632"/>
    <mergeCell ref="F29:G29"/>
    <mergeCell ref="B582:O583"/>
    <mergeCell ref="M469:O469"/>
    <mergeCell ref="J101:L101"/>
    <mergeCell ref="K860:O860"/>
    <mergeCell ref="B45:E45"/>
    <mergeCell ref="B561:E561"/>
    <mergeCell ref="K731:O731"/>
    <mergeCell ref="F356:G356"/>
    <mergeCell ref="B377:C377"/>
    <mergeCell ref="C387:I387"/>
    <mergeCell ref="B562:E562"/>
    <mergeCell ref="L675:O675"/>
    <mergeCell ref="C501:I501"/>
    <mergeCell ref="B676:E676"/>
    <mergeCell ref="M793:O793"/>
    <mergeCell ref="B101:E101"/>
    <mergeCell ref="N613:O613"/>
    <mergeCell ref="N727:O727"/>
    <mergeCell ref="K275:O275"/>
    <mergeCell ref="F560:K560"/>
    <mergeCell ref="C71:I71"/>
    <mergeCell ref="H446:I446"/>
    <mergeCell ref="K873:O873"/>
    <mergeCell ref="K515:O515"/>
    <mergeCell ref="J26:L26"/>
    <mergeCell ref="F375:G375"/>
    <mergeCell ref="M334:M335"/>
    <mergeCell ref="C66:I66"/>
    <mergeCell ref="K60:O60"/>
    <mergeCell ref="K449:L450"/>
    <mergeCell ref="F368:G368"/>
    <mergeCell ref="K174:O174"/>
    <mergeCell ref="K23:M23"/>
    <mergeCell ref="C68:I68"/>
    <mergeCell ref="C402:I402"/>
    <mergeCell ref="B579:C579"/>
    <mergeCell ref="B116:C116"/>
    <mergeCell ref="B230:C230"/>
    <mergeCell ref="M833:O833"/>
    <mergeCell ref="K288:O288"/>
    <mergeCell ref="K798:L798"/>
    <mergeCell ref="K70:O70"/>
    <mergeCell ref="B118:C118"/>
    <mergeCell ref="K505:O505"/>
    <mergeCell ref="J709:L709"/>
    <mergeCell ref="N449:N450"/>
    <mergeCell ref="K800:L800"/>
    <mergeCell ref="F701:G701"/>
    <mergeCell ref="C295:I295"/>
    <mergeCell ref="C882:I882"/>
    <mergeCell ref="C759:I759"/>
    <mergeCell ref="C753:I753"/>
    <mergeCell ref="K231:O231"/>
    <mergeCell ref="C296:I296"/>
    <mergeCell ref="H792:I792"/>
    <mergeCell ref="O449:O450"/>
    <mergeCell ref="B652:B656"/>
    <mergeCell ref="J94:O94"/>
    <mergeCell ref="B592:C592"/>
    <mergeCell ref="C298:I298"/>
    <mergeCell ref="J124:L124"/>
    <mergeCell ref="H331:I331"/>
    <mergeCell ref="C754:I754"/>
    <mergeCell ref="B803:C803"/>
    <mergeCell ref="N382:O382"/>
    <mergeCell ref="B122:O123"/>
    <mergeCell ref="B485:C485"/>
    <mergeCell ref="C168:I168"/>
    <mergeCell ref="C764:I764"/>
    <mergeCell ref="B493:C493"/>
    <mergeCell ref="B821:C821"/>
    <mergeCell ref="M791:O791"/>
    <mergeCell ref="B581:I581"/>
    <mergeCell ref="K869:O869"/>
    <mergeCell ref="F40:G40"/>
    <mergeCell ref="M792:O792"/>
    <mergeCell ref="N693:O693"/>
    <mergeCell ref="C69:I69"/>
    <mergeCell ref="B794:E795"/>
    <mergeCell ref="K302:O302"/>
    <mergeCell ref="L384:O384"/>
    <mergeCell ref="C62:I62"/>
    <mergeCell ref="F41:G41"/>
    <mergeCell ref="J134:L134"/>
    <mergeCell ref="C396:I396"/>
    <mergeCell ref="M449:M450"/>
    <mergeCell ref="K229:L229"/>
    <mergeCell ref="C527:I527"/>
    <mergeCell ref="K19:M19"/>
    <mergeCell ref="C187:I187"/>
    <mergeCell ref="C64:I64"/>
    <mergeCell ref="F366:G366"/>
    <mergeCell ref="C398:I398"/>
    <mergeCell ref="B360:C360"/>
    <mergeCell ref="C93:I93"/>
    <mergeCell ref="H101:I101"/>
    <mergeCell ref="K284:O284"/>
    <mergeCell ref="B114:C114"/>
    <mergeCell ref="K618:O618"/>
    <mergeCell ref="F824:I824"/>
    <mergeCell ref="K172:O172"/>
    <mergeCell ref="F480:G480"/>
    <mergeCell ref="L560:O560"/>
    <mergeCell ref="K628:O628"/>
    <mergeCell ref="N20:O20"/>
    <mergeCell ref="B232:C232"/>
    <mergeCell ref="C82:I82"/>
    <mergeCell ref="B467:O468"/>
    <mergeCell ref="C538:I538"/>
    <mergeCell ref="N22:O22"/>
    <mergeCell ref="M217:O217"/>
    <mergeCell ref="K460:N460"/>
    <mergeCell ref="C83:I83"/>
    <mergeCell ref="B588:C588"/>
    <mergeCell ref="B53:O53"/>
    <mergeCell ref="B590:C590"/>
    <mergeCell ref="K639:O639"/>
    <mergeCell ref="B127:C127"/>
    <mergeCell ref="F839:G839"/>
    <mergeCell ref="J824:L824"/>
    <mergeCell ref="K641:O641"/>
    <mergeCell ref="F710:G710"/>
    <mergeCell ref="B841:O841"/>
    <mergeCell ref="F134:I134"/>
    <mergeCell ref="F712:G712"/>
    <mergeCell ref="F834:G834"/>
    <mergeCell ref="C768:I768"/>
    <mergeCell ref="F258:I258"/>
    <mergeCell ref="C762:I762"/>
    <mergeCell ref="F836:G836"/>
    <mergeCell ref="J446:L446"/>
    <mergeCell ref="B154:E154"/>
    <mergeCell ref="B601:C601"/>
    <mergeCell ref="N696:O696"/>
    <mergeCell ref="K271:O271"/>
    <mergeCell ref="J448:L448"/>
    <mergeCell ref="F594:I594"/>
    <mergeCell ref="B381:O381"/>
    <mergeCell ref="J239:L239"/>
    <mergeCell ref="J143:L143"/>
    <mergeCell ref="K566:L566"/>
    <mergeCell ref="K273:O273"/>
    <mergeCell ref="B29:C29"/>
    <mergeCell ref="B678:I678"/>
    <mergeCell ref="F31:G31"/>
    <mergeCell ref="K233:M233"/>
    <mergeCell ref="J96:O98"/>
    <mergeCell ref="K567:L567"/>
    <mergeCell ref="C183:I183"/>
    <mergeCell ref="O219:O220"/>
    <mergeCell ref="F39:G39"/>
    <mergeCell ref="C193:I193"/>
    <mergeCell ref="C176:I176"/>
    <mergeCell ref="K569:L569"/>
    <mergeCell ref="B356:C356"/>
    <mergeCell ref="G104:I105"/>
    <mergeCell ref="C178:I178"/>
    <mergeCell ref="F488:I488"/>
    <mergeCell ref="K870:O870"/>
    <mergeCell ref="K413:O413"/>
    <mergeCell ref="F476:G476"/>
    <mergeCell ref="K624:O624"/>
    <mergeCell ref="J4:L4"/>
    <mergeCell ref="B384:E384"/>
    <mergeCell ref="K415:O415"/>
    <mergeCell ref="B728:M728"/>
    <mergeCell ref="B228:C228"/>
    <mergeCell ref="K286:O286"/>
    <mergeCell ref="C509:I509"/>
    <mergeCell ref="B42:C42"/>
    <mergeCell ref="J104:J105"/>
    <mergeCell ref="K738:O738"/>
    <mergeCell ref="F50:G50"/>
    <mergeCell ref="C511:I511"/>
    <mergeCell ref="B688:C688"/>
    <mergeCell ref="B682:C682"/>
    <mergeCell ref="C504:I504"/>
    <mergeCell ref="B681:C681"/>
    <mergeCell ref="K642:O642"/>
    <mergeCell ref="B375:C375"/>
    <mergeCell ref="B254:C254"/>
    <mergeCell ref="K635:O635"/>
    <mergeCell ref="B683:C683"/>
    <mergeCell ref="N463:O463"/>
    <mergeCell ref="K766:O766"/>
    <mergeCell ref="M216:O216"/>
    <mergeCell ref="F49:G49"/>
    <mergeCell ref="B256:C256"/>
    <mergeCell ref="K637:O637"/>
    <mergeCell ref="M218:O218"/>
    <mergeCell ref="C860:I860"/>
    <mergeCell ref="C651:I651"/>
    <mergeCell ref="F376:G376"/>
    <mergeCell ref="F830:G830"/>
    <mergeCell ref="C862:I862"/>
    <mergeCell ref="B832:O832"/>
    <mergeCell ref="B701:C701"/>
    <mergeCell ref="J537:O537"/>
    <mergeCell ref="C863:I863"/>
    <mergeCell ref="K181:O181"/>
    <mergeCell ref="N219:N220"/>
    <mergeCell ref="F129:G129"/>
    <mergeCell ref="K58:O58"/>
    <mergeCell ref="B333:I333"/>
    <mergeCell ref="F131:G131"/>
    <mergeCell ref="J833:L833"/>
    <mergeCell ref="C277:I277"/>
    <mergeCell ref="C873:I873"/>
    <mergeCell ref="C733:I733"/>
    <mergeCell ref="C276:I276"/>
    <mergeCell ref="O6:O7"/>
    <mergeCell ref="K78:O78"/>
    <mergeCell ref="C278:I278"/>
    <mergeCell ref="M718:O718"/>
    <mergeCell ref="F154:K154"/>
    <mergeCell ref="B845:O845"/>
    <mergeCell ref="B22:C22"/>
    <mergeCell ref="K80:O80"/>
    <mergeCell ref="J561:L561"/>
    <mergeCell ref="F447:G447"/>
    <mergeCell ref="N233:O233"/>
    <mergeCell ref="F605:G605"/>
    <mergeCell ref="F603:I603"/>
    <mergeCell ref="K411:O411"/>
    <mergeCell ref="C288:I288"/>
    <mergeCell ref="F607:G607"/>
    <mergeCell ref="F144:G144"/>
    <mergeCell ref="C505:I505"/>
    <mergeCell ref="B38:C38"/>
    <mergeCell ref="K406:O406"/>
    <mergeCell ref="C507:I507"/>
    <mergeCell ref="K121:M121"/>
    <mergeCell ref="B40:C40"/>
    <mergeCell ref="B338:C338"/>
    <mergeCell ref="B33:C33"/>
    <mergeCell ref="C291:I291"/>
    <mergeCell ref="B340:C340"/>
    <mergeCell ref="B462:C462"/>
    <mergeCell ref="N679:N680"/>
    <mergeCell ref="F589:G589"/>
    <mergeCell ref="B41:C41"/>
    <mergeCell ref="C502:I502"/>
    <mergeCell ref="B796:C796"/>
    <mergeCell ref="K737:O737"/>
    <mergeCell ref="F384:K384"/>
    <mergeCell ref="B252:C252"/>
    <mergeCell ref="C647:I647"/>
    <mergeCell ref="C518:I518"/>
    <mergeCell ref="C649:I649"/>
    <mergeCell ref="F374:G374"/>
    <mergeCell ref="B480:C480"/>
    <mergeCell ref="H561:I561"/>
    <mergeCell ref="C520:I520"/>
    <mergeCell ref="C642:I642"/>
    <mergeCell ref="B691:C691"/>
    <mergeCell ref="M479:O479"/>
    <mergeCell ref="C644:I644"/>
    <mergeCell ref="K748:O748"/>
    <mergeCell ref="N6:N7"/>
    <mergeCell ref="B692:C692"/>
    <mergeCell ref="K750:O750"/>
    <mergeCell ref="F819:G819"/>
    <mergeCell ref="B265:C265"/>
    <mergeCell ref="F216:G216"/>
    <mergeCell ref="B694:C694"/>
    <mergeCell ref="B487:O487"/>
    <mergeCell ref="N55:O55"/>
    <mergeCell ref="K18:O18"/>
    <mergeCell ref="K503:O503"/>
    <mergeCell ref="K163:O163"/>
    <mergeCell ref="B710:C710"/>
    <mergeCell ref="K76:O76"/>
    <mergeCell ref="J217:L217"/>
    <mergeCell ref="B107:C107"/>
    <mergeCell ref="F242:G242"/>
    <mergeCell ref="K165:O165"/>
    <mergeCell ref="B134:E134"/>
    <mergeCell ref="F244:G244"/>
    <mergeCell ref="K77:O77"/>
    <mergeCell ref="M679:M680"/>
    <mergeCell ref="K799:L799"/>
    <mergeCell ref="K459:L459"/>
    <mergeCell ref="B466:I466"/>
    <mergeCell ref="B9:C9"/>
    <mergeCell ref="B594:E594"/>
    <mergeCell ref="C742:I742"/>
    <mergeCell ref="F598:G598"/>
    <mergeCell ref="C424:I426"/>
    <mergeCell ref="K87:O87"/>
    <mergeCell ref="B135:C135"/>
    <mergeCell ref="C287:I287"/>
    <mergeCell ref="K522:O522"/>
    <mergeCell ref="K516:O516"/>
    <mergeCell ref="C158:I158"/>
    <mergeCell ref="K850:O850"/>
    <mergeCell ref="K89:O89"/>
    <mergeCell ref="C289:I289"/>
    <mergeCell ref="K393:O393"/>
    <mergeCell ref="F255:G255"/>
    <mergeCell ref="B216:E216"/>
    <mergeCell ref="B39:C39"/>
    <mergeCell ref="K88:O88"/>
    <mergeCell ref="K517:O517"/>
    <mergeCell ref="C618:I618"/>
    <mergeCell ref="M6:M7"/>
    <mergeCell ref="K90:O90"/>
    <mergeCell ref="C191:I191"/>
    <mergeCell ref="B488:E488"/>
    <mergeCell ref="K519:O519"/>
    <mergeCell ref="K234:M234"/>
    <mergeCell ref="B818:C818"/>
    <mergeCell ref="C184:I184"/>
    <mergeCell ref="F469:I469"/>
    <mergeCell ref="K876:O876"/>
    <mergeCell ref="H217:I217"/>
    <mergeCell ref="C638:I638"/>
    <mergeCell ref="K236:M236"/>
    <mergeCell ref="B820:C820"/>
    <mergeCell ref="B882:B886"/>
    <mergeCell ref="K535:O535"/>
    <mergeCell ref="B50:C50"/>
    <mergeCell ref="K746:O746"/>
    <mergeCell ref="F608:G608"/>
    <mergeCell ref="M354:O354"/>
    <mergeCell ref="K227:L227"/>
    <mergeCell ref="F485:G485"/>
    <mergeCell ref="B802:C802"/>
    <mergeCell ref="B730:O730"/>
    <mergeCell ref="M677:O677"/>
    <mergeCell ref="B235:C235"/>
    <mergeCell ref="B831:C831"/>
    <mergeCell ref="K159:O159"/>
    <mergeCell ref="F699:I699"/>
    <mergeCell ref="F355:G355"/>
    <mergeCell ref="K161:O161"/>
    <mergeCell ref="B376:C376"/>
    <mergeCell ref="B805:C805"/>
    <mergeCell ref="K617:O617"/>
    <mergeCell ref="F357:G357"/>
    <mergeCell ref="J373:L373"/>
    <mergeCell ref="K463:M463"/>
    <mergeCell ref="K461:O461"/>
    <mergeCell ref="K455:L455"/>
    <mergeCell ref="C413:I413"/>
    <mergeCell ref="K156:O156"/>
    <mergeCell ref="K457:L457"/>
    <mergeCell ref="J219:J220"/>
    <mergeCell ref="C415:I415"/>
    <mergeCell ref="B129:C129"/>
    <mergeCell ref="N153:O153"/>
    <mergeCell ref="K187:O187"/>
    <mergeCell ref="C408:I408"/>
    <mergeCell ref="B131:C131"/>
    <mergeCell ref="K189:O189"/>
    <mergeCell ref="B24:O25"/>
    <mergeCell ref="C410:I410"/>
    <mergeCell ref="B465:C465"/>
    <mergeCell ref="F714:G714"/>
    <mergeCell ref="K182:O182"/>
    <mergeCell ref="F251:G251"/>
    <mergeCell ref="J699:L699"/>
    <mergeCell ref="L2:O2"/>
    <mergeCell ref="F42:G42"/>
    <mergeCell ref="B3:E3"/>
    <mergeCell ref="K84:O84"/>
    <mergeCell ref="C397:I397"/>
    <mergeCell ref="F253:G253"/>
    <mergeCell ref="K86:O86"/>
    <mergeCell ref="C855:I855"/>
    <mergeCell ref="C94:I94"/>
    <mergeCell ref="F711:G711"/>
    <mergeCell ref="K386:O386"/>
    <mergeCell ref="B605:C605"/>
    <mergeCell ref="B603:E603"/>
    <mergeCell ref="K695:M695"/>
    <mergeCell ref="C645:I645"/>
    <mergeCell ref="M446:O446"/>
    <mergeCell ref="B607:C607"/>
    <mergeCell ref="B144:C144"/>
    <mergeCell ref="K531:O531"/>
    <mergeCell ref="K867:O867"/>
    <mergeCell ref="B600:C600"/>
    <mergeCell ref="N695:O695"/>
    <mergeCell ref="M448:O448"/>
    <mergeCell ref="C640:I640"/>
    <mergeCell ref="N268:O268"/>
    <mergeCell ref="K533:O533"/>
    <mergeCell ref="K875:O875"/>
    <mergeCell ref="B331:E331"/>
    <mergeCell ref="J679:J680"/>
    <mergeCell ref="B726:O726"/>
    <mergeCell ref="F722:G722"/>
    <mergeCell ref="K528:O528"/>
    <mergeCell ref="J767:O767"/>
    <mergeCell ref="F364:I364"/>
    <mergeCell ref="B563:I563"/>
    <mergeCell ref="B835:C835"/>
    <mergeCell ref="B829:C829"/>
    <mergeCell ref="K679:L680"/>
    <mergeCell ref="K859:O859"/>
    <mergeCell ref="F479:I479"/>
    <mergeCell ref="B830:C830"/>
    <mergeCell ref="J6:J7"/>
    <mergeCell ref="C81:I81"/>
    <mergeCell ref="J309:O311"/>
    <mergeCell ref="K272:O272"/>
    <mergeCell ref="B244:C244"/>
    <mergeCell ref="K185:O185"/>
    <mergeCell ref="F51:G51"/>
    <mergeCell ref="C406:I406"/>
    <mergeCell ref="K301:O301"/>
    <mergeCell ref="K178:O178"/>
    <mergeCell ref="F38:G38"/>
    <mergeCell ref="B245:C245"/>
    <mergeCell ref="F380:G380"/>
    <mergeCell ref="M794:M795"/>
    <mergeCell ref="K6:L7"/>
    <mergeCell ref="K186:O186"/>
    <mergeCell ref="K303:O303"/>
    <mergeCell ref="K568:L568"/>
    <mergeCell ref="B153:M153"/>
    <mergeCell ref="K636:O636"/>
    <mergeCell ref="C63:I63"/>
    <mergeCell ref="K570:L570"/>
    <mergeCell ref="B496:O496"/>
    <mergeCell ref="C851:I851"/>
    <mergeCell ref="C90:I90"/>
    <mergeCell ref="C388:I388"/>
    <mergeCell ref="F707:G707"/>
    <mergeCell ref="C861:I861"/>
    <mergeCell ref="B576:C576"/>
    <mergeCell ref="B570:C570"/>
    <mergeCell ref="C853:I853"/>
    <mergeCell ref="B113:C113"/>
    <mergeCell ref="B35:O35"/>
    <mergeCell ref="B269:E269"/>
    <mergeCell ref="C732:I732"/>
    <mergeCell ref="B115:C115"/>
    <mergeCell ref="K811:M811"/>
    <mergeCell ref="F821:G821"/>
    <mergeCell ref="N351:O351"/>
    <mergeCell ref="J103:L103"/>
    <mergeCell ref="B598:C598"/>
    <mergeCell ref="C748:I748"/>
    <mergeCell ref="C879:I879"/>
    <mergeCell ref="C756:I756"/>
    <mergeCell ref="F269:K269"/>
    <mergeCell ref="H791:I791"/>
    <mergeCell ref="C750:I750"/>
    <mergeCell ref="B712:C712"/>
    <mergeCell ref="N348:O348"/>
    <mergeCell ref="B255:C255"/>
    <mergeCell ref="F720:G720"/>
    <mergeCell ref="B589:C589"/>
    <mergeCell ref="C751:I751"/>
    <mergeCell ref="B800:C800"/>
    <mergeCell ref="M561:O561"/>
    <mergeCell ref="F148:G148"/>
    <mergeCell ref="F446:G446"/>
    <mergeCell ref="B469:E469"/>
    <mergeCell ref="B351:I351"/>
    <mergeCell ref="K878:O878"/>
    <mergeCell ref="C165:I165"/>
    <mergeCell ref="C77:I77"/>
    <mergeCell ref="C166:I166"/>
    <mergeCell ref="J447:L447"/>
    <mergeCell ref="C160:I160"/>
    <mergeCell ref="B337:C337"/>
    <mergeCell ref="F584:I584"/>
    <mergeCell ref="K297:O297"/>
    <mergeCell ref="B339:C339"/>
    <mergeCell ref="K299:O299"/>
    <mergeCell ref="L844:O844"/>
    <mergeCell ref="K293:O293"/>
    <mergeCell ref="C522:I522"/>
    <mergeCell ref="C59:I59"/>
    <mergeCell ref="F4:G4"/>
    <mergeCell ref="C61:I61"/>
    <mergeCell ref="B355:C355"/>
    <mergeCell ref="K294:O294"/>
    <mergeCell ref="K17:N17"/>
    <mergeCell ref="C517:I517"/>
    <mergeCell ref="B572:C572"/>
    <mergeCell ref="O334:O335"/>
    <mergeCell ref="C395:I395"/>
    <mergeCell ref="K752:O752"/>
    <mergeCell ref="F792:G792"/>
    <mergeCell ref="B219:E220"/>
    <mergeCell ref="B357:C357"/>
    <mergeCell ref="C519:I519"/>
    <mergeCell ref="B52:C52"/>
    <mergeCell ref="K754:O754"/>
    <mergeCell ref="B350:C350"/>
    <mergeCell ref="B727:M727"/>
    <mergeCell ref="C390:I390"/>
    <mergeCell ref="B567:C567"/>
    <mergeCell ref="K625:O625"/>
    <mergeCell ref="B358:C358"/>
    <mergeCell ref="F814:I814"/>
    <mergeCell ref="B569:C569"/>
    <mergeCell ref="K8:L8"/>
    <mergeCell ref="F818:G818"/>
    <mergeCell ref="C875:I875"/>
    <mergeCell ref="C535:I535"/>
    <mergeCell ref="N19:O19"/>
    <mergeCell ref="H447:I447"/>
    <mergeCell ref="F820:G820"/>
    <mergeCell ref="B478:O478"/>
    <mergeCell ref="C537:I537"/>
    <mergeCell ref="B251:C251"/>
    <mergeCell ref="K580:M580"/>
    <mergeCell ref="C530:I530"/>
    <mergeCell ref="B585:C585"/>
    <mergeCell ref="C747:I747"/>
    <mergeCell ref="C532:I532"/>
    <mergeCell ref="B587:C587"/>
    <mergeCell ref="N464:O464"/>
    <mergeCell ref="J216:L216"/>
    <mergeCell ref="B580:C580"/>
    <mergeCell ref="B711:C711"/>
    <mergeCell ref="B4:E4"/>
    <mergeCell ref="K336:L336"/>
    <mergeCell ref="F831:G831"/>
    <mergeCell ref="B8:C8"/>
    <mergeCell ref="C619:I619"/>
    <mergeCell ref="C162:I162"/>
    <mergeCell ref="B10:C10"/>
    <mergeCell ref="K391:O391"/>
    <mergeCell ref="K235:M235"/>
    <mergeCell ref="K810:M810"/>
    <mergeCell ref="C164:I164"/>
    <mergeCell ref="C760:I760"/>
    <mergeCell ref="B608:C608"/>
    <mergeCell ref="F130:G130"/>
    <mergeCell ref="N334:N335"/>
    <mergeCell ref="K691:O691"/>
    <mergeCell ref="B722:C722"/>
    <mergeCell ref="K392:O392"/>
    <mergeCell ref="F132:G132"/>
    <mergeCell ref="B364:E364"/>
    <mergeCell ref="K687:L687"/>
    <mergeCell ref="K394:O394"/>
    <mergeCell ref="L56:O56"/>
    <mergeCell ref="C190:I190"/>
    <mergeCell ref="B21:C21"/>
    <mergeCell ref="K688:L688"/>
    <mergeCell ref="C304:I304"/>
    <mergeCell ref="B479:E479"/>
    <mergeCell ref="C515:I515"/>
    <mergeCell ref="C175:I175"/>
    <mergeCell ref="K404:O404"/>
    <mergeCell ref="K621:O621"/>
    <mergeCell ref="B348:C348"/>
    <mergeCell ref="J424:O426"/>
    <mergeCell ref="F483:G483"/>
    <mergeCell ref="F597:G597"/>
    <mergeCell ref="N564:N565"/>
    <mergeCell ref="K623:O623"/>
    <mergeCell ref="K745:O745"/>
    <mergeCell ref="K405:O405"/>
    <mergeCell ref="B499:E499"/>
    <mergeCell ref="B51:C51"/>
    <mergeCell ref="B833:E833"/>
    <mergeCell ref="B142:O142"/>
    <mergeCell ref="F816:G816"/>
    <mergeCell ref="B837:C837"/>
    <mergeCell ref="B380:C380"/>
    <mergeCell ref="C526:I526"/>
    <mergeCell ref="M678:O678"/>
    <mergeCell ref="C528:I528"/>
    <mergeCell ref="K763:O763"/>
    <mergeCell ref="F449:F450"/>
    <mergeCell ref="K300:O300"/>
    <mergeCell ref="B253:C253"/>
    <mergeCell ref="K852:O852"/>
    <mergeCell ref="K634:O634"/>
    <mergeCell ref="B707:C707"/>
    <mergeCell ref="N462:O462"/>
    <mergeCell ref="K765:O765"/>
    <mergeCell ref="G449:I450"/>
    <mergeCell ref="K758:O758"/>
    <mergeCell ref="F827:G827"/>
    <mergeCell ref="C859:I859"/>
    <mergeCell ref="K456:L456"/>
    <mergeCell ref="B729:E729"/>
    <mergeCell ref="K176:O176"/>
    <mergeCell ref="F829:G829"/>
    <mergeCell ref="B372:O372"/>
    <mergeCell ref="C854:I854"/>
    <mergeCell ref="F709:I709"/>
    <mergeCell ref="J354:L354"/>
    <mergeCell ref="K171:O171"/>
    <mergeCell ref="K16:L16"/>
    <mergeCell ref="C272:I272"/>
    <mergeCell ref="B693:C693"/>
    <mergeCell ref="N54:O54"/>
    <mergeCell ref="F128:G128"/>
    <mergeCell ref="K9:L9"/>
    <mergeCell ref="M699:O699"/>
    <mergeCell ref="K351:M351"/>
    <mergeCell ref="F679:F680"/>
    <mergeCell ref="F217:G217"/>
    <mergeCell ref="K343:L343"/>
    <mergeCell ref="B720:C720"/>
    <mergeCell ref="N842:O842"/>
    <mergeCell ref="F252:G252"/>
    <mergeCell ref="K11:L11"/>
    <mergeCell ref="F586:G586"/>
    <mergeCell ref="F840:G840"/>
    <mergeCell ref="B17:C17"/>
    <mergeCell ref="K75:O75"/>
    <mergeCell ref="B148:C148"/>
    <mergeCell ref="C275:I275"/>
    <mergeCell ref="K504:O504"/>
    <mergeCell ref="F124:I124"/>
    <mergeCell ref="B19:C19"/>
    <mergeCell ref="K348:M348"/>
    <mergeCell ref="B108:C108"/>
    <mergeCell ref="K408:O408"/>
    <mergeCell ref="B477:C477"/>
    <mergeCell ref="B20:C20"/>
    <mergeCell ref="K858:O858"/>
    <mergeCell ref="K401:O401"/>
    <mergeCell ref="F6:F7"/>
    <mergeCell ref="C409:I409"/>
    <mergeCell ref="K403:O403"/>
    <mergeCell ref="K581:M581"/>
    <mergeCell ref="B697:O698"/>
    <mergeCell ref="F265:G265"/>
    <mergeCell ref="C626:I626"/>
    <mergeCell ref="F599:G599"/>
    <mergeCell ref="K577:M577"/>
    <mergeCell ref="C628:I628"/>
    <mergeCell ref="K861:O861"/>
    <mergeCell ref="B459:C459"/>
    <mergeCell ref="M36:O36"/>
    <mergeCell ref="F354:I354"/>
    <mergeCell ref="B94:B98"/>
    <mergeCell ref="B461:C461"/>
    <mergeCell ref="K848:O848"/>
    <mergeCell ref="K578:M578"/>
    <mergeCell ref="N120:O120"/>
    <mergeCell ref="K421:O421"/>
    <mergeCell ref="F499:K499"/>
    <mergeCell ref="F494:G494"/>
    <mergeCell ref="F37:G37"/>
    <mergeCell ref="N578:O578"/>
    <mergeCell ref="K112:L112"/>
    <mergeCell ref="C639:I639"/>
    <mergeCell ref="B814:E814"/>
    <mergeCell ref="C641:I641"/>
    <mergeCell ref="M364:O364"/>
    <mergeCell ref="C67:I67"/>
    <mergeCell ref="B689:C689"/>
    <mergeCell ref="F675:K675"/>
    <mergeCell ref="K169:O169"/>
    <mergeCell ref="B262:C262"/>
    <mergeCell ref="K564:L565"/>
    <mergeCell ref="N807:O807"/>
    <mergeCell ref="K71:O71"/>
    <mergeCell ref="C271:I271"/>
    <mergeCell ref="B54:M54"/>
    <mergeCell ref="K73:O73"/>
    <mergeCell ref="J793:L793"/>
    <mergeCell ref="G334:I335"/>
    <mergeCell ref="J249:L249"/>
    <mergeCell ref="F718:I718"/>
    <mergeCell ref="K66:O66"/>
    <mergeCell ref="K501:O501"/>
    <mergeCell ref="B106:C106"/>
    <mergeCell ref="F241:G241"/>
    <mergeCell ref="K74:O74"/>
    <mergeCell ref="K796:L796"/>
    <mergeCell ref="C868:I868"/>
    <mergeCell ref="O564:O565"/>
    <mergeCell ref="C739:I739"/>
    <mergeCell ref="C293:I293"/>
    <mergeCell ref="B130:C130"/>
    <mergeCell ref="K797:L797"/>
    <mergeCell ref="L614:O614"/>
    <mergeCell ref="F595:G595"/>
    <mergeCell ref="C749:I749"/>
    <mergeCell ref="F138:G138"/>
    <mergeCell ref="J654:O656"/>
    <mergeCell ref="B584:E584"/>
    <mergeCell ref="J422:O422"/>
    <mergeCell ref="C284:I284"/>
    <mergeCell ref="B132:C132"/>
    <mergeCell ref="B455:C455"/>
    <mergeCell ref="K513:O513"/>
    <mergeCell ref="C294:I294"/>
    <mergeCell ref="F143:I143"/>
    <mergeCell ref="B457:C457"/>
    <mergeCell ref="K334:L335"/>
    <mergeCell ref="K514:O514"/>
    <mergeCell ref="J718:L718"/>
    <mergeCell ref="B486:C486"/>
    <mergeCell ref="B458:C458"/>
    <mergeCell ref="C767:I767"/>
    <mergeCell ref="K219:L220"/>
    <mergeCell ref="O794:O795"/>
    <mergeCell ref="B483:C483"/>
    <mergeCell ref="B817:C817"/>
    <mergeCell ref="M447:O447"/>
    <mergeCell ref="J884:O886"/>
    <mergeCell ref="N267:O267"/>
    <mergeCell ref="C307:I307"/>
    <mergeCell ref="B484:C484"/>
    <mergeCell ref="K865:O865"/>
    <mergeCell ref="K224:L224"/>
    <mergeCell ref="C392:I392"/>
    <mergeCell ref="F606:G606"/>
    <mergeCell ref="K225:L225"/>
    <mergeCell ref="C394:I394"/>
    <mergeCell ref="K158:O158"/>
    <mergeCell ref="K280:O280"/>
    <mergeCell ref="B233:C233"/>
    <mergeCell ref="B227:C227"/>
    <mergeCell ref="J791:L791"/>
    <mergeCell ref="J36:L36"/>
    <mergeCell ref="L100:O100"/>
    <mergeCell ref="K616:O616"/>
    <mergeCell ref="C78:I78"/>
    <mergeCell ref="J792:L792"/>
    <mergeCell ref="K454:L454"/>
    <mergeCell ref="C534:I534"/>
    <mergeCell ref="B709:E709"/>
    <mergeCell ref="B55:M55"/>
    <mergeCell ref="C536:I536"/>
    <mergeCell ref="C79:I79"/>
    <mergeCell ref="C73:I73"/>
    <mergeCell ref="B128:C128"/>
    <mergeCell ref="B307:B311"/>
    <mergeCell ref="C407:I407"/>
    <mergeCell ref="K179:O179"/>
    <mergeCell ref="N794:N795"/>
    <mergeCell ref="B586:C586"/>
    <mergeCell ref="B104:E105"/>
    <mergeCell ref="J364:L364"/>
    <mergeCell ref="F835:G835"/>
    <mergeCell ref="K510:O510"/>
    <mergeCell ref="F833:I833"/>
    <mergeCell ref="F250:G250"/>
    <mergeCell ref="L330:O330"/>
    <mergeCell ref="F706:G706"/>
    <mergeCell ref="K512:O512"/>
    <mergeCell ref="K506:O506"/>
    <mergeCell ref="M219:M220"/>
    <mergeCell ref="C852:I852"/>
    <mergeCell ref="C765:I765"/>
    <mergeCell ref="K808:M808"/>
    <mergeCell ref="L790:O790"/>
    <mergeCell ref="C847:I847"/>
    <mergeCell ref="C92:I92"/>
    <mergeCell ref="C766:I766"/>
    <mergeCell ref="B597:C597"/>
    <mergeCell ref="N692:O692"/>
    <mergeCell ref="K532:O532"/>
    <mergeCell ref="B808:C808"/>
    <mergeCell ref="K866:O866"/>
    <mergeCell ref="B599:C599"/>
    <mergeCell ref="B449:E450"/>
    <mergeCell ref="F332:G332"/>
    <mergeCell ref="K690:N690"/>
    <mergeCell ref="K221:L221"/>
    <mergeCell ref="B354:E354"/>
    <mergeCell ref="K223:L223"/>
    <mergeCell ref="C181:I181"/>
    <mergeCell ref="C174:I174"/>
    <mergeCell ref="B223:C223"/>
    <mergeCell ref="B494:C494"/>
    <mergeCell ref="B798:C798"/>
    <mergeCell ref="B231:C231"/>
    <mergeCell ref="B827:C827"/>
    <mergeCell ref="F474:G474"/>
    <mergeCell ref="B495:C495"/>
    <mergeCell ref="K282:O282"/>
    <mergeCell ref="F47:G47"/>
    <mergeCell ref="O104:O105"/>
    <mergeCell ref="F46:G46"/>
    <mergeCell ref="J194:O196"/>
    <mergeCell ref="F48:G48"/>
    <mergeCell ref="C80:I80"/>
    <mergeCell ref="C403:I403"/>
    <mergeCell ref="F477:G477"/>
    <mergeCell ref="K638:O638"/>
    <mergeCell ref="K175:O175"/>
    <mergeCell ref="K631:O631"/>
    <mergeCell ref="B242:C242"/>
    <mergeCell ref="F371:G371"/>
    <mergeCell ref="K177:O177"/>
    <mergeCell ref="B613:M613"/>
    <mergeCell ref="K633:O633"/>
    <mergeCell ref="B366:C366"/>
    <mergeCell ref="F379:G379"/>
    <mergeCell ref="F702:G702"/>
    <mergeCell ref="F493:G493"/>
    <mergeCell ref="C848:I848"/>
    <mergeCell ref="F704:G704"/>
    <mergeCell ref="C858:I858"/>
    <mergeCell ref="K464:M464"/>
    <mergeCell ref="C88:I88"/>
    <mergeCell ref="C654:I656"/>
    <mergeCell ref="B234:C234"/>
    <mergeCell ref="K466:M466"/>
    <mergeCell ref="C416:I416"/>
    <mergeCell ref="B568:C568"/>
    <mergeCell ref="K651:O651"/>
    <mergeCell ref="K345:N345"/>
    <mergeCell ref="K346:O346"/>
    <mergeCell ref="B595:C595"/>
    <mergeCell ref="B446:E446"/>
    <mergeCell ref="J102:L102"/>
    <mergeCell ref="F729:K729"/>
    <mergeCell ref="K342:L342"/>
    <mergeCell ref="C273:I273"/>
    <mergeCell ref="K646:O646"/>
    <mergeCell ref="C869:I869"/>
    <mergeCell ref="K863:O863"/>
    <mergeCell ref="B143:E143"/>
    <mergeCell ref="K344:L344"/>
    <mergeCell ref="K648:O648"/>
    <mergeCell ref="C877:I877"/>
    <mergeCell ref="C871:I871"/>
    <mergeCell ref="M258:O258"/>
    <mergeCell ref="C414:I414"/>
    <mergeCell ref="B385:O385"/>
    <mergeCell ref="F719:G719"/>
    <mergeCell ref="F145:G145"/>
    <mergeCell ref="B606:C606"/>
    <mergeCell ref="K276:O276"/>
    <mergeCell ref="K67:O67"/>
    <mergeCell ref="K278:O278"/>
    <mergeCell ref="B268:M268"/>
    <mergeCell ref="K576:O576"/>
    <mergeCell ref="K847:O847"/>
    <mergeCell ref="F140:G140"/>
    <mergeCell ref="K573:L573"/>
    <mergeCell ref="C286:I286"/>
    <mergeCell ref="B463:C463"/>
    <mergeCell ref="K572:L572"/>
    <mergeCell ref="C503:I503"/>
    <mergeCell ref="C163:I163"/>
    <mergeCell ref="C617:I617"/>
    <mergeCell ref="C76:I76"/>
    <mergeCell ref="B373:E373"/>
    <mergeCell ref="K574:L574"/>
    <mergeCell ref="K119:M119"/>
    <mergeCell ref="B336:C336"/>
    <mergeCell ref="K419:O419"/>
    <mergeCell ref="F585:G585"/>
    <mergeCell ref="B31:C31"/>
    <mergeCell ref="K418:O418"/>
    <mergeCell ref="F587:G587"/>
    <mergeCell ref="F369:G369"/>
    <mergeCell ref="N117:O117"/>
    <mergeCell ref="K420:O420"/>
    <mergeCell ref="H562:I562"/>
    <mergeCell ref="C643:I643"/>
    <mergeCell ref="K291:O291"/>
    <mergeCell ref="C514:I514"/>
    <mergeCell ref="F491:G491"/>
    <mergeCell ref="F370:G370"/>
    <mergeCell ref="B476:C476"/>
    <mergeCell ref="B696:I696"/>
    <mergeCell ref="F484:G484"/>
    <mergeCell ref="C516:I516"/>
    <mergeCell ref="B49:C49"/>
    <mergeCell ref="K622:O622"/>
    <mergeCell ref="B695:C695"/>
    <mergeCell ref="G794:I795"/>
    <mergeCell ref="F373:I373"/>
    <mergeCell ref="K13:L13"/>
    <mergeCell ref="F359:G359"/>
    <mergeCell ref="B566:C566"/>
    <mergeCell ref="B261:C261"/>
    <mergeCell ref="K15:L15"/>
    <mergeCell ref="F334:F335"/>
    <mergeCell ref="B690:C690"/>
    <mergeCell ref="F817:G817"/>
    <mergeCell ref="B560:E560"/>
    <mergeCell ref="K644:O644"/>
    <mergeCell ref="B767:B771"/>
    <mergeCell ref="J794:J795"/>
    <mergeCell ref="C867:I867"/>
    <mergeCell ref="B250:C250"/>
    <mergeCell ref="B706:C706"/>
    <mergeCell ref="B57:O57"/>
    <mergeCell ref="K764:O764"/>
    <mergeCell ref="M249:O249"/>
    <mergeCell ref="B811:I811"/>
    <mergeCell ref="C870:I870"/>
    <mergeCell ref="F136:G136"/>
    <mergeCell ref="K65:O65"/>
    <mergeCell ref="C159:I159"/>
    <mergeCell ref="K388:O388"/>
    <mergeCell ref="C740:I740"/>
    <mergeCell ref="C161:I161"/>
    <mergeCell ref="C283:I283"/>
    <mergeCell ref="B793:I793"/>
    <mergeCell ref="K846:O846"/>
    <mergeCell ref="K91:O91"/>
    <mergeCell ref="K85:O85"/>
    <mergeCell ref="C285:I285"/>
    <mergeCell ref="K389:O389"/>
    <mergeCell ref="K684:L684"/>
    <mergeCell ref="C156:I156"/>
    <mergeCell ref="N843:O843"/>
    <mergeCell ref="B56:E56"/>
    <mergeCell ref="K686:L686"/>
    <mergeCell ref="F149:G149"/>
    <mergeCell ref="B537:B541"/>
    <mergeCell ref="K685:L685"/>
    <mergeCell ref="F36:I36"/>
    <mergeCell ref="C301:I301"/>
    <mergeCell ref="H676:I676"/>
    <mergeCell ref="C180:I180"/>
    <mergeCell ref="B806:C806"/>
    <mergeCell ref="B343:C343"/>
    <mergeCell ref="K232:M232"/>
    <mergeCell ref="C303:I303"/>
    <mergeCell ref="B474:C474"/>
    <mergeCell ref="B816:C816"/>
    <mergeCell ref="C182:I182"/>
    <mergeCell ref="B47:C47"/>
    <mergeCell ref="B345:C345"/>
    <mergeCell ref="K525:O525"/>
    <mergeCell ref="B801:C801"/>
    <mergeCell ref="B46:C46"/>
    <mergeCell ref="K742:O742"/>
    <mergeCell ref="F596:G596"/>
    <mergeCell ref="B48:C48"/>
    <mergeCell ref="B346:C346"/>
    <mergeCell ref="K744:O744"/>
    <mergeCell ref="C652:I652"/>
    <mergeCell ref="C627:I627"/>
    <mergeCell ref="B371:C371"/>
    <mergeCell ref="C629:I629"/>
    <mergeCell ref="B379:C379"/>
    <mergeCell ref="K760:O760"/>
    <mergeCell ref="G6:I7"/>
    <mergeCell ref="K157:O157"/>
    <mergeCell ref="M676:O676"/>
    <mergeCell ref="B374:C374"/>
    <mergeCell ref="K451:L451"/>
    <mergeCell ref="K755:O755"/>
    <mergeCell ref="B217:E217"/>
    <mergeCell ref="N498:O498"/>
    <mergeCell ref="K453:L453"/>
    <mergeCell ref="K757:O757"/>
    <mergeCell ref="K113:L113"/>
    <mergeCell ref="C411:I411"/>
    <mergeCell ref="N612:O612"/>
    <mergeCell ref="B500:O500"/>
    <mergeCell ref="B819:C819"/>
    <mergeCell ref="B112:C112"/>
    <mergeCell ref="F125:G125"/>
    <mergeCell ref="F247:G247"/>
    <mergeCell ref="K170:O170"/>
    <mergeCell ref="C393:I393"/>
    <mergeCell ref="K387:O387"/>
    <mergeCell ref="B456:C456"/>
    <mergeCell ref="C422:I422"/>
    <mergeCell ref="K681:L681"/>
    <mergeCell ref="N809:O809"/>
    <mergeCell ref="B16:C16"/>
    <mergeCell ref="B138:C138"/>
    <mergeCell ref="K683:L683"/>
    <mergeCell ref="J677:L677"/>
    <mergeCell ref="B843:M843"/>
    <mergeCell ref="C292:I292"/>
    <mergeCell ref="B18:C18"/>
    <mergeCell ref="B140:C140"/>
    <mergeCell ref="K855:O855"/>
    <mergeCell ref="B11:C11"/>
    <mergeCell ref="F723:G723"/>
    <mergeCell ref="C636:I636"/>
    <mergeCell ref="K529:O529"/>
    <mergeCell ref="F56:K56"/>
    <mergeCell ref="K523:O523"/>
    <mergeCell ref="K857:O857"/>
    <mergeCell ref="F725:G725"/>
    <mergeCell ref="K400:O400"/>
    <mergeCell ref="F262:G262"/>
    <mergeCell ref="M4:O4"/>
    <mergeCell ref="J307:O307"/>
    <mergeCell ref="B383:M383"/>
    <mergeCell ref="K524:O524"/>
    <mergeCell ref="C884:I886"/>
    <mergeCell ref="K696:M696"/>
    <mergeCell ref="C625:I625"/>
    <mergeCell ref="B270:O270"/>
    <mergeCell ref="F45:I45"/>
    <mergeCell ref="B593:O593"/>
    <mergeCell ref="J5:L5"/>
    <mergeCell ref="K854:O854"/>
    <mergeCell ref="L215:O215"/>
    <mergeCell ref="B825:C825"/>
    <mergeCell ref="B368:C368"/>
    <mergeCell ref="N580:O580"/>
    <mergeCell ref="J603:L603"/>
    <mergeCell ref="C620:I620"/>
    <mergeCell ref="B370:C370"/>
    <mergeCell ref="N581:O581"/>
    <mergeCell ref="K117:M117"/>
    <mergeCell ref="K109:L109"/>
    <mergeCell ref="H677:I677"/>
    <mergeCell ref="N577:O577"/>
    <mergeCell ref="F492:G492"/>
    <mergeCell ref="K111:L111"/>
    <mergeCell ref="B809:C809"/>
    <mergeCell ref="B838:C838"/>
    <mergeCell ref="F794:F795"/>
    <mergeCell ref="B612:M612"/>
    <mergeCell ref="F362:G362"/>
    <mergeCell ref="F245:G245"/>
    <mergeCell ref="K168:O168"/>
    <mergeCell ref="J676:L676"/>
    <mergeCell ref="F791:G791"/>
    <mergeCell ref="K167:O167"/>
    <mergeCell ref="B699:E699"/>
    <mergeCell ref="J678:L678"/>
    <mergeCell ref="C420:I420"/>
    <mergeCell ref="C849:I849"/>
    <mergeCell ref="H332:I332"/>
    <mergeCell ref="F365:G365"/>
    <mergeCell ref="B259:C259"/>
    <mergeCell ref="B136:C136"/>
    <mergeCell ref="B111:C111"/>
    <mergeCell ref="K63:O63"/>
    <mergeCell ref="M101:O101"/>
    <mergeCell ref="K465:M465"/>
    <mergeCell ref="B470:C470"/>
    <mergeCell ref="B225:C225"/>
    <mergeCell ref="N347:O347"/>
    <mergeCell ref="K650:O650"/>
    <mergeCell ref="F219:F220"/>
    <mergeCell ref="N349:O349"/>
    <mergeCell ref="M102:O102"/>
    <mergeCell ref="F721:G721"/>
    <mergeCell ref="B842:M842"/>
    <mergeCell ref="C404:I404"/>
    <mergeCell ref="C746:I746"/>
    <mergeCell ref="F260:G260"/>
    <mergeCell ref="B266:O266"/>
    <mergeCell ref="F716:G716"/>
    <mergeCell ref="C731:I731"/>
    <mergeCell ref="B812:O813"/>
    <mergeCell ref="C405:I405"/>
    <mergeCell ref="K879:O879"/>
    <mergeCell ref="B149:C149"/>
    <mergeCell ref="B36:E36"/>
    <mergeCell ref="K880:O880"/>
    <mergeCell ref="K874:O874"/>
    <mergeCell ref="G679:I680"/>
    <mergeCell ref="B792:E792"/>
    <mergeCell ref="N579:O579"/>
    <mergeCell ref="K809:M809"/>
    <mergeCell ref="B708:O708"/>
    <mergeCell ref="C60:I60"/>
    <mergeCell ref="K864:O864"/>
    <mergeCell ref="F34:G34"/>
    <mergeCell ref="C91:I91"/>
    <mergeCell ref="M564:M565"/>
    <mergeCell ref="C194:I196"/>
    <mergeCell ref="K290:O290"/>
    <mergeCell ref="F30:G30"/>
    <mergeCell ref="C391:I391"/>
    <mergeCell ref="C86:I86"/>
    <mergeCell ref="F361:G361"/>
    <mergeCell ref="C58:I58"/>
    <mergeCell ref="C309:I311"/>
    <mergeCell ref="C386:I386"/>
    <mergeCell ref="K279:O279"/>
    <mergeCell ref="K735:O735"/>
    <mergeCell ref="F815:G815"/>
    <mergeCell ref="F475:G475"/>
    <mergeCell ref="C75:I75"/>
    <mergeCell ref="K160:O160"/>
    <mergeCell ref="C531:I531"/>
    <mergeCell ref="K274:O274"/>
    <mergeCell ref="C533:I533"/>
    <mergeCell ref="F677:G677"/>
    <mergeCell ref="J814:L814"/>
    <mergeCell ref="C70:I70"/>
    <mergeCell ref="B125:C125"/>
    <mergeCell ref="K305:O305"/>
    <mergeCell ref="C744:I744"/>
    <mergeCell ref="M124:O124"/>
    <mergeCell ref="B577:C577"/>
    <mergeCell ref="B120:C120"/>
    <mergeCell ref="C745:I745"/>
    <mergeCell ref="F101:G101"/>
    <mergeCell ref="F828:G828"/>
    <mergeCell ref="B578:C578"/>
    <mergeCell ref="F705:G705"/>
    <mergeCell ref="B2:E2"/>
    <mergeCell ref="F102:G102"/>
    <mergeCell ref="C755:I755"/>
    <mergeCell ref="B790:E790"/>
    <mergeCell ref="B723:C723"/>
    <mergeCell ref="K807:M807"/>
    <mergeCell ref="C763:I763"/>
    <mergeCell ref="C757:I757"/>
    <mergeCell ref="C300:I300"/>
    <mergeCell ref="B725:C725"/>
    <mergeCell ref="B719:C719"/>
    <mergeCell ref="B596:C596"/>
    <mergeCell ref="B447:E447"/>
    <mergeCell ref="B473:C473"/>
    <mergeCell ref="C758:I758"/>
    <mergeCell ref="F2:K2"/>
    <mergeCell ref="B807:C807"/>
    <mergeCell ref="B236:I236"/>
    <mergeCell ref="F3:G3"/>
    <mergeCell ref="F331:G331"/>
    <mergeCell ref="F32:G32"/>
    <mergeCell ref="C172:I172"/>
    <mergeCell ref="B349:C349"/>
    <mergeCell ref="C171:I171"/>
    <mergeCell ref="B226:C226"/>
    <mergeCell ref="C302:I302"/>
    <mergeCell ref="M584:O584"/>
    <mergeCell ref="F27:G27"/>
    <mergeCell ref="B717:O717"/>
    <mergeCell ref="C173:I173"/>
    <mergeCell ref="B222:C222"/>
    <mergeCell ref="B344:C344"/>
    <mergeCell ref="K402:O402"/>
    <mergeCell ref="N104:N105"/>
    <mergeCell ref="F471:G471"/>
    <mergeCell ref="B221:C221"/>
    <mergeCell ref="K619:O619"/>
    <mergeCell ref="K304:O304"/>
    <mergeCell ref="K733:O733"/>
  </mergeCells>
  <printOptions horizontalCentered="1" verticalCentered="1"/>
  <pageMargins left="0.3149606299212598" right="0.3149606299212598" top="0.5511811023622047" bottom="0.5511811023622047" header="0.3149606299212598" footer="0.3149606299212598"/>
  <pageSetup orientation="portrait" paperSize="9" scale="55" fitToHeight="2"/>
  <rowBreaks count="2" manualBreakCount="2">
    <brk id="55" min="0" max="15" man="1"/>
    <brk id="98" min="0" max="15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SGM</dc:creator>
  <dcterms:created xmlns:dcterms="http://purl.org/dc/terms/" xmlns:xsi="http://www.w3.org/2001/XMLSchema-instance" xsi:type="dcterms:W3CDTF">2024-11-25T14:42:28Z</dcterms:created>
  <dcterms:modified xmlns:dcterms="http://purl.org/dc/terms/" xmlns:xsi="http://www.w3.org/2001/XMLSchema-instance" xsi:type="dcterms:W3CDTF">2026-05-08T07:41:02Z</dcterms:modified>
  <cp:lastModifiedBy>Halil Akçaoglu</cp:lastModifiedBy>
</cp:coreProperties>
</file>